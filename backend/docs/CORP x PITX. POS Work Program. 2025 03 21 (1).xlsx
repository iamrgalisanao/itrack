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xr:revisionPtr revIDLastSave="642" documentId="11_E83BB00161575E894E08EEE0FC2F88090A86ED2E" xr6:coauthVersionLast="47" xr6:coauthVersionMax="47" xr10:uidLastSave="{2F745BA0-29C4-4C58-B7C9-47007371CBCA}"/>
  <bookViews>
    <workbookView xWindow="0" yWindow="0" windowWidth="0" windowHeight="0" xr2:uid="{00000000-000D-0000-FFFF-FFFF00000000}"/>
  </bookViews>
  <sheets>
    <sheet name="Work Program_final" sheetId="1" r:id="rId1"/>
    <sheet name="Work Program_old" sheetId="2" state="hidden" r:id="rId2"/>
    <sheet name="Glossary of Terms" sheetId="3" r:id="rId3"/>
    <sheet name="TEAM" sheetId="4" r:id="rId4"/>
  </sheets>
  <externalReferences>
    <externalReference r:id="rId5"/>
    <externalReference r:id="rId6"/>
    <externalReference r:id="rId7"/>
    <externalReference r:id="rId8"/>
    <externalReference r:id="rId9"/>
    <externalReference r:id="rId10"/>
    <externalReference r:id="rId11"/>
  </externalReferences>
  <definedNames>
    <definedName name="_56F9DC9755BA473782653E2940F9FormId">"t4RrA7gmHUSHwfNZDT8u0dAQfEpQWa5HrWKRnyX-I0hUM0ozTjBIRVY3WkI1SFhPT1hSWUNGTU8wWSQlQCN0PWcu"</definedName>
    <definedName name="_56F9DC9755BA473782653E2940F9ResponseSheet">"Form1"</definedName>
    <definedName name="_56F9DC9755BA473782653E2940F9SourceDocId">"{d7aeb747-5dc9-488e-a26f-7ffcdcafdcda}"</definedName>
    <definedName name="Activity___Business_Process">[1]!Table13[Activity / Business Process]</definedName>
    <definedName name="Alignment_Risk">#REF!</definedName>
    <definedName name="asdf">#REF!</definedName>
    <definedName name="Budget_and_Planning_Risk">#REF!</definedName>
    <definedName name="Calendar1Month">[2]JUNE!$E$5</definedName>
    <definedName name="Calendar1MonthOption">MATCH(Calendar1Month,Months,0)</definedName>
    <definedName name="Calendar2Month">[3]Calendar!$C$15</definedName>
    <definedName name="Calendar2MonthOption">MATCH(Calendar2Month,Months,0)</definedName>
    <definedName name="Calendar2Year">[3]Sheet1!$D$3</definedName>
    <definedName name="Catastrophic_Loss_Risk">#REF!</definedName>
    <definedName name="Collection_Risk">#REF!</definedName>
    <definedName name="Commercial">#REF!</definedName>
    <definedName name="Communications_Risk">#REF!</definedName>
    <definedName name="Compliance_Risk">#REF!</definedName>
    <definedName name="Contract_Commitment_Risk">#REF!</definedName>
    <definedName name="Contracts">#REF!</definedName>
    <definedName name="Control_Category">[1]!Table12[Control Category]</definedName>
    <definedName name="Customer_Satisfaction_Risk">#REF!</definedName>
    <definedName name="Days">{0,1,2,3,4,5,6}</definedName>
    <definedName name="Efficiency_Risk">#REF!</definedName>
    <definedName name="Employee_Fraud_and_Third_Party_Fraud_Risk">#REF!</definedName>
    <definedName name="Environment">#REF!</definedName>
    <definedName name="Financial">#REF!</definedName>
    <definedName name="Financial_Reporting">#REF!</definedName>
    <definedName name="Health_and_Safety_Risk">#REF!</definedName>
    <definedName name="Holiday">[4]Holidays!$B$2:$B$63</definedName>
    <definedName name="Human_Resources_Risk">#REF!</definedName>
    <definedName name="item_in_plan" localSheetId="2">AND('[5]Work Program (ESA)'!A$8&gt;='[5]Work Program (ESA)'!$Q1,'[5]Work Program (ESA)'!A$8&lt;='[5]Work Program (ESA)'!$R1)</definedName>
    <definedName name="item_in_plan" localSheetId="0">AND('Work Program_final'!A$8&gt;='Work Program_final'!#REF!,'Work Program_final'!A$8&lt;='Work Program_final'!#REF!)</definedName>
    <definedName name="item_in_plan" localSheetId="1">AND('Work Program_old'!A$8&gt;='Work Program_old'!#REF!,'Work Program_old'!A$8&lt;='Work Program_old'!#REF!)</definedName>
    <definedName name="item_in_plan">AND(#REF!&gt;=#REF!,#REF!&lt;=#REF!)</definedName>
    <definedName name="Liquidity_Risk">#REF!</definedName>
    <definedName name="Main">#REF!</definedName>
    <definedName name="Months">{"January","February","March","April","May","June","July","August","September","October","November","December"}</definedName>
    <definedName name="Operational">#REF!</definedName>
    <definedName name="Operations">#REF!</definedName>
    <definedName name="Organizational">#REF!</definedName>
    <definedName name="Others">#REF!</definedName>
    <definedName name="Outsourcing_Risk">#REF!</definedName>
    <definedName name="People">#REF!</definedName>
    <definedName name="Performance_Gap_Risk">#REF!</definedName>
    <definedName name="Permits">#REF!</definedName>
    <definedName name="Plan">AND('[6]Work Program (ESA)'!A$8&gt;='[6]Work Program (ESA)'!$Q1,'[6]Work Program (ESA)'!A$8&lt;='[6]Work Program (ESA)'!$R1)</definedName>
    <definedName name="PMLC">#REF!</definedName>
    <definedName name="Prio">#REF!</definedName>
    <definedName name="Prio2">#REF!</definedName>
    <definedName name="Prio3">#REF!</definedName>
    <definedName name="Prio4">#REF!</definedName>
    <definedName name="Proc_Obj">#REF!</definedName>
    <definedName name="Procurement">#REF!</definedName>
    <definedName name="Project_Management">#REF!</definedName>
    <definedName name="ProjectManagement">#REF!</definedName>
    <definedName name="Quality_Failure_Risk">#REF!</definedName>
    <definedName name="Regulatory">#REF!</definedName>
    <definedName name="Regulatory_Risk">#REF!</definedName>
    <definedName name="Risk_Ref">'[7]EPC Project Risk Categorization'!#REF!</definedName>
    <definedName name="Risk_Ref_2">'[7]EPC Project Risk Categorization'!#REF!</definedName>
    <definedName name="RiskCategory_2">[1]!Table14[Risk Category]</definedName>
    <definedName name="RiskSubCategory">[1]!Table1[RISK SUB CATEGORY]</definedName>
    <definedName name="Stakeholders">#REF!</definedName>
    <definedName name="Strategic">#REF!</definedName>
    <definedName name="Sub">#REF!</definedName>
    <definedName name="Technical">#REF!</definedName>
    <definedName name="WeekdayOption">MATCH(WeekStart,Weekdays,0)+10</definedName>
    <definedName name="Weekdays">{"Monday","Tuesday","Wednesday","Thursday","Friday","Saturday","Sunday"}</definedName>
    <definedName name="WeekStart">[2]JUNE!$D$6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wPpGFL9ROdxxAgFsEePk7D1rJWcI3HGvWL9kho4QahA="/>
    </ext>
  </extLst>
</workbook>
</file>

<file path=xl/calcChain.xml><?xml version="1.0" encoding="utf-8"?>
<calcChain xmlns="http://schemas.openxmlformats.org/spreadsheetml/2006/main">
  <c r="Y115" i="1" l="1"/>
  <c r="Y112" i="1"/>
  <c r="Y110" i="1"/>
  <c r="Y109" i="1"/>
  <c r="W115" i="1"/>
  <c r="V115" i="1"/>
  <c r="W112" i="1"/>
  <c r="V112" i="1"/>
  <c r="W110" i="1"/>
  <c r="V110" i="1"/>
  <c r="W109" i="1"/>
  <c r="V109" i="1"/>
  <c r="Y104" i="1"/>
  <c r="Y101" i="1"/>
  <c r="Y98" i="1"/>
  <c r="Y97" i="1" s="1"/>
  <c r="W104" i="1"/>
  <c r="V104" i="1"/>
  <c r="W101" i="1"/>
  <c r="V101" i="1"/>
  <c r="W98" i="1"/>
  <c r="W97" i="1" s="1"/>
  <c r="V98" i="1"/>
  <c r="V97" i="1" s="1"/>
  <c r="Y94" i="1"/>
  <c r="Y91" i="1"/>
  <c r="Y88" i="1"/>
  <c r="Y87" i="1" s="1"/>
  <c r="Y86" i="1" s="1"/>
  <c r="V88" i="1"/>
  <c r="V87" i="1" s="1"/>
  <c r="W88" i="1"/>
  <c r="W87" i="1" s="1"/>
  <c r="W81" i="1"/>
  <c r="V81" i="1"/>
  <c r="U81" i="1"/>
  <c r="T81" i="1"/>
  <c r="W77" i="1"/>
  <c r="V77" i="1"/>
  <c r="U77" i="1"/>
  <c r="T77" i="1"/>
  <c r="Y72" i="1"/>
  <c r="Y81" i="1"/>
  <c r="Y77" i="1"/>
  <c r="Y71" i="1" s="1"/>
  <c r="W72" i="1"/>
  <c r="W71" i="1" s="1"/>
  <c r="V72" i="1"/>
  <c r="V71" i="1" s="1"/>
  <c r="V70" i="1" s="1"/>
  <c r="W70" i="1"/>
  <c r="Y64" i="1"/>
  <c r="U49" i="1"/>
  <c r="U50" i="1"/>
  <c r="U51" i="1"/>
  <c r="U52" i="1"/>
  <c r="U53" i="1"/>
  <c r="U55" i="1"/>
  <c r="U56" i="1"/>
  <c r="U57" i="1"/>
  <c r="U58" i="1"/>
  <c r="U60" i="1"/>
  <c r="U61" i="1"/>
  <c r="U62" i="1"/>
  <c r="U63" i="1"/>
  <c r="U65" i="1"/>
  <c r="U66" i="1"/>
  <c r="U67" i="1"/>
  <c r="U68" i="1"/>
  <c r="U69" i="1"/>
  <c r="U70" i="1"/>
  <c r="U71" i="1"/>
  <c r="U73" i="1"/>
  <c r="U74" i="1"/>
  <c r="U75" i="1"/>
  <c r="U76" i="1"/>
  <c r="U78" i="1"/>
  <c r="U79" i="1"/>
  <c r="U80"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V64" i="1"/>
  <c r="W64" i="1"/>
  <c r="W48" i="1"/>
  <c r="Y11" i="1"/>
  <c r="Y10" i="1"/>
  <c r="V59" i="1"/>
  <c r="W59" i="1"/>
  <c r="Y59" i="1"/>
  <c r="Y47" i="1"/>
  <c r="W54" i="1"/>
  <c r="V54" i="1"/>
  <c r="U54" i="1" s="1"/>
  <c r="T49" i="1"/>
  <c r="Y54" i="1"/>
  <c r="Y46" i="1" s="1"/>
  <c r="V48" i="1"/>
  <c r="U48" i="1" s="1"/>
  <c r="U44" i="1"/>
  <c r="Y48" i="1"/>
  <c r="W42" i="1"/>
  <c r="V42" i="1"/>
  <c r="Y42" i="1"/>
  <c r="Y41" i="1" s="1"/>
  <c r="Y31" i="1"/>
  <c r="Y29" i="1"/>
  <c r="W47" i="1"/>
  <c r="V47" i="1"/>
  <c r="W46" i="1"/>
  <c r="W41" i="1" s="1"/>
  <c r="V46" i="1"/>
  <c r="Y38" i="1"/>
  <c r="W38" i="1"/>
  <c r="V31" i="1"/>
  <c r="V26" i="1"/>
  <c r="W31" i="1"/>
  <c r="W29" i="1"/>
  <c r="V29" i="1"/>
  <c r="V25" i="1" s="1"/>
  <c r="W21" i="1"/>
  <c r="V21" i="1"/>
  <c r="U39" i="1"/>
  <c r="T39" i="1" s="1"/>
  <c r="U40" i="1"/>
  <c r="T40" i="1" s="1"/>
  <c r="U42" i="1"/>
  <c r="T42" i="1" s="1"/>
  <c r="U43" i="1"/>
  <c r="T43" i="1" s="1"/>
  <c r="T44" i="1"/>
  <c r="U45" i="1"/>
  <c r="T45" i="1" s="1"/>
  <c r="T50" i="1"/>
  <c r="T51" i="1"/>
  <c r="T52" i="1"/>
  <c r="T53" i="1"/>
  <c r="T54" i="1"/>
  <c r="T55" i="1"/>
  <c r="T56" i="1"/>
  <c r="T57" i="1"/>
  <c r="T58" i="1"/>
  <c r="T60" i="1"/>
  <c r="T61" i="1"/>
  <c r="T62" i="1"/>
  <c r="T63" i="1"/>
  <c r="T65" i="1"/>
  <c r="T66" i="1"/>
  <c r="T67" i="1"/>
  <c r="T68" i="1"/>
  <c r="T69" i="1"/>
  <c r="T70" i="1"/>
  <c r="T71" i="1"/>
  <c r="T73" i="1"/>
  <c r="T74" i="1"/>
  <c r="T75" i="1"/>
  <c r="T76" i="1"/>
  <c r="T78" i="1"/>
  <c r="T79" i="1"/>
  <c r="T80"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U21" i="1"/>
  <c r="T21" i="1" s="1"/>
  <c r="U22" i="1"/>
  <c r="T22" i="1" s="1"/>
  <c r="U23" i="1"/>
  <c r="T23" i="1" s="1"/>
  <c r="U24" i="1"/>
  <c r="T24" i="1" s="1"/>
  <c r="U27" i="1"/>
  <c r="T27" i="1" s="1"/>
  <c r="U28" i="1"/>
  <c r="T28" i="1" s="1"/>
  <c r="U29" i="1"/>
  <c r="T29" i="1" s="1"/>
  <c r="U30" i="1"/>
  <c r="T30" i="1" s="1"/>
  <c r="U31" i="1"/>
  <c r="T31" i="1" s="1"/>
  <c r="U32" i="1"/>
  <c r="T32" i="1" s="1"/>
  <c r="U33" i="1"/>
  <c r="T33" i="1" s="1"/>
  <c r="U36" i="1"/>
  <c r="T36" i="1" s="1"/>
  <c r="U37" i="1"/>
  <c r="T37" i="1" s="1"/>
  <c r="W35" i="1"/>
  <c r="W34" i="1"/>
  <c r="Y35" i="1"/>
  <c r="Y34" i="1" s="1"/>
  <c r="Y17" i="1"/>
  <c r="Y21" i="1"/>
  <c r="V17" i="1"/>
  <c r="W17" i="1"/>
  <c r="Y26" i="1"/>
  <c r="W26" i="1"/>
  <c r="U26" i="1"/>
  <c r="T26" i="1" s="1"/>
  <c r="W25" i="1"/>
  <c r="AJ8" i="2" a="1"/>
  <c r="AJ8" i="2"/>
  <c r="AK8" i="2" a="1"/>
  <c r="AK8" i="2"/>
  <c r="AL8" i="2" a="1"/>
  <c r="AL8" i="2"/>
  <c r="AM8" i="2" a="1"/>
  <c r="AM8" i="2"/>
  <c r="AN8" i="2" a="1"/>
  <c r="AN8" i="2"/>
  <c r="AO8" i="2" a="1"/>
  <c r="AO8" i="2"/>
  <c r="AP8" i="2" a="1"/>
  <c r="AP8" i="2"/>
  <c r="AQ8" i="2" a="1"/>
  <c r="AQ8" i="2"/>
  <c r="AR8" i="2" a="1"/>
  <c r="AR8" i="2"/>
  <c r="AS8" i="2" a="1"/>
  <c r="AS8" i="2"/>
  <c r="AT8" i="2" a="1"/>
  <c r="AT8" i="2"/>
  <c r="AU8" i="2" a="1"/>
  <c r="AU8" i="2"/>
  <c r="AV8" i="2" a="1"/>
  <c r="AV8" i="2"/>
  <c r="AW8" i="2" a="1"/>
  <c r="AW8" i="2"/>
  <c r="AX8" i="2" a="1"/>
  <c r="AX8" i="2"/>
  <c r="AY8" i="2" a="1"/>
  <c r="AY8" i="2"/>
  <c r="AZ8" i="2" a="1"/>
  <c r="AZ8" i="2"/>
  <c r="BA8" i="2" a="1"/>
  <c r="BA8" i="2"/>
  <c r="BB8" i="2" a="1"/>
  <c r="BB8" i="2"/>
  <c r="BC8" i="2" a="1"/>
  <c r="BC8" i="2"/>
  <c r="BD8" i="2" a="1"/>
  <c r="BD8" i="2"/>
  <c r="BE8" i="2" a="1"/>
  <c r="BE8" i="2"/>
  <c r="BF8" i="2" a="1"/>
  <c r="BF8" i="2"/>
  <c r="BG8" i="2" a="1"/>
  <c r="BG8" i="2"/>
  <c r="BH8" i="2" a="1"/>
  <c r="BH8" i="2"/>
  <c r="BI8" i="2" a="1"/>
  <c r="BI8" i="2"/>
  <c r="BJ8" i="2" a="1"/>
  <c r="BJ8" i="2"/>
  <c r="BK8" i="2" a="1"/>
  <c r="BK8" i="2"/>
  <c r="BL8" i="2" a="1"/>
  <c r="BL8" i="2"/>
  <c r="BM8" i="2" a="1"/>
  <c r="BM8" i="2"/>
  <c r="BN8" i="2" a="1"/>
  <c r="BN8" i="2"/>
  <c r="BO8" i="2" a="1"/>
  <c r="BO8" i="2"/>
  <c r="BP8" i="2" a="1"/>
  <c r="BP8" i="2"/>
  <c r="BQ8" i="2" a="1"/>
  <c r="BQ8" i="2"/>
  <c r="W172" i="2"/>
  <c r="U172" i="2"/>
  <c r="O172" i="2"/>
  <c r="W171" i="2"/>
  <c r="U171" i="2"/>
  <c r="O171" i="2"/>
  <c r="W170" i="2"/>
  <c r="U170" i="2"/>
  <c r="O170" i="2"/>
  <c r="W169" i="2"/>
  <c r="U169" i="2"/>
  <c r="O169" i="2"/>
  <c r="AC167" i="2"/>
  <c r="Y167" i="2"/>
  <c r="X167" i="2"/>
  <c r="W167" i="2"/>
  <c r="U167" i="2"/>
  <c r="T167" i="2"/>
  <c r="S167" i="2"/>
  <c r="Q167" i="2"/>
  <c r="P167" i="2"/>
  <c r="O167" i="2"/>
  <c r="W166" i="2"/>
  <c r="U166" i="2"/>
  <c r="O166" i="2"/>
  <c r="W165" i="2"/>
  <c r="U165" i="2"/>
  <c r="O165" i="2"/>
  <c r="Y163" i="2"/>
  <c r="X163" i="2"/>
  <c r="W163" i="2"/>
  <c r="U163" i="2"/>
  <c r="T163" i="2"/>
  <c r="S163" i="2"/>
  <c r="Q163" i="2"/>
  <c r="P163" i="2"/>
  <c r="O163" i="2"/>
  <c r="Y162" i="2"/>
  <c r="U162" i="2"/>
  <c r="T162" i="2"/>
  <c r="Q162" i="2"/>
  <c r="W161" i="2"/>
  <c r="U161" i="2"/>
  <c r="O161" i="2"/>
  <c r="W160" i="2"/>
  <c r="U160" i="2"/>
  <c r="O160" i="2"/>
  <c r="AC159" i="2"/>
  <c r="Y159" i="2"/>
  <c r="X159" i="2"/>
  <c r="W159" i="2"/>
  <c r="U159" i="2"/>
  <c r="T159" i="2"/>
  <c r="S159" i="2"/>
  <c r="Q159" i="2"/>
  <c r="P159" i="2"/>
  <c r="O159" i="2"/>
  <c r="W158" i="2"/>
  <c r="U158" i="2"/>
  <c r="O158" i="2"/>
  <c r="W157" i="2"/>
  <c r="U157" i="2"/>
  <c r="O157" i="2"/>
  <c r="W156" i="2"/>
  <c r="U156" i="2"/>
  <c r="O156" i="2"/>
  <c r="Y154" i="2"/>
  <c r="X154" i="2"/>
  <c r="X162" i="2" s="1"/>
  <c r="W162" i="2" s="1"/>
  <c r="W154" i="2"/>
  <c r="U154" i="2"/>
  <c r="T154" i="2"/>
  <c r="S154" i="2"/>
  <c r="S162" i="2" s="1"/>
  <c r="Q154" i="2"/>
  <c r="P154" i="2"/>
  <c r="P162" i="2" s="1"/>
  <c r="O162" i="2" s="1"/>
  <c r="O154" i="2"/>
  <c r="W144" i="2"/>
  <c r="S144" i="2"/>
  <c r="O144" i="2"/>
  <c r="U143" i="2"/>
  <c r="S143" i="2"/>
  <c r="O143" i="2"/>
  <c r="X142" i="2"/>
  <c r="U142" i="2"/>
  <c r="S142" i="2"/>
  <c r="O142" i="2"/>
  <c r="X141" i="2"/>
  <c r="O141" i="2"/>
  <c r="Y140" i="2"/>
  <c r="Y141" i="2" s="1"/>
  <c r="W141" i="2" s="1"/>
  <c r="W140" i="2"/>
  <c r="U140" i="2"/>
  <c r="U141" i="2" s="1"/>
  <c r="S141" i="2" s="1"/>
  <c r="S140" i="2"/>
  <c r="O140" i="2"/>
  <c r="Y139" i="2"/>
  <c r="X139" i="2"/>
  <c r="W139" i="2"/>
  <c r="U139" i="2"/>
  <c r="S139" i="2"/>
  <c r="O139" i="2"/>
  <c r="Y138" i="2"/>
  <c r="X138" i="2"/>
  <c r="W138" i="2"/>
  <c r="U138" i="2"/>
  <c r="S138" i="2"/>
  <c r="O138" i="2"/>
  <c r="Y134" i="2"/>
  <c r="X134" i="2"/>
  <c r="W134" i="2"/>
  <c r="U134" i="2"/>
  <c r="S134" i="2"/>
  <c r="O134" i="2"/>
  <c r="AC133" i="2"/>
  <c r="U133" i="2"/>
  <c r="T133" i="2"/>
  <c r="S133" i="2"/>
  <c r="Q133" i="2"/>
  <c r="P133" i="2"/>
  <c r="O133" i="2"/>
  <c r="X132" i="2"/>
  <c r="Y132" i="2" s="1"/>
  <c r="W132" i="2"/>
  <c r="S132" i="2"/>
  <c r="O132" i="2"/>
  <c r="X131" i="2"/>
  <c r="Y131" i="2" s="1"/>
  <c r="W131" i="2"/>
  <c r="S131" i="2"/>
  <c r="O131" i="2"/>
  <c r="Y130" i="2"/>
  <c r="S130" i="2"/>
  <c r="O130" i="2"/>
  <c r="Y129" i="2"/>
  <c r="X130" i="2" s="1"/>
  <c r="W130" i="2" s="1"/>
  <c r="W129" i="2"/>
  <c r="S129" i="2"/>
  <c r="O129" i="2"/>
  <c r="AC128" i="2"/>
  <c r="W128" i="2"/>
  <c r="S128" i="2"/>
  <c r="Q128" i="2"/>
  <c r="P128" i="2"/>
  <c r="O128" i="2"/>
  <c r="W125" i="2"/>
  <c r="U125" i="2"/>
  <c r="O125" i="2"/>
  <c r="W124" i="2"/>
  <c r="U124" i="2"/>
  <c r="O124" i="2"/>
  <c r="W123" i="2"/>
  <c r="U123" i="2"/>
  <c r="O123" i="2"/>
  <c r="W122" i="2"/>
  <c r="U122" i="2"/>
  <c r="O122" i="2"/>
  <c r="X121" i="2"/>
  <c r="Y121" i="2" s="1"/>
  <c r="W121" i="2"/>
  <c r="T121" i="2"/>
  <c r="S121" i="2"/>
  <c r="W120" i="2"/>
  <c r="U120" i="2"/>
  <c r="S120" i="2"/>
  <c r="W119" i="2"/>
  <c r="S119" i="2"/>
  <c r="P119" i="2"/>
  <c r="O119" i="2"/>
  <c r="W118" i="2"/>
  <c r="U118" i="2"/>
  <c r="O118" i="2"/>
  <c r="W117" i="2"/>
  <c r="U117" i="2"/>
  <c r="O117" i="2"/>
  <c r="W116" i="2"/>
  <c r="U116" i="2"/>
  <c r="O116" i="2"/>
  <c r="Y114" i="2"/>
  <c r="X114" i="2"/>
  <c r="W114" i="2"/>
  <c r="T114" i="2"/>
  <c r="S114" i="2"/>
  <c r="P114" i="2"/>
  <c r="O114" i="2"/>
  <c r="W113" i="2"/>
  <c r="U113" i="2"/>
  <c r="W112" i="2"/>
  <c r="W111" i="2"/>
  <c r="W110" i="2"/>
  <c r="T110" i="2"/>
  <c r="P110" i="2"/>
  <c r="W109" i="2"/>
  <c r="T109" i="2"/>
  <c r="P109" i="2"/>
  <c r="Q109" i="2" s="1"/>
  <c r="O109" i="2"/>
  <c r="Y108" i="2"/>
  <c r="W108" i="2"/>
  <c r="O108" i="2"/>
  <c r="W107" i="2"/>
  <c r="O107" i="2"/>
  <c r="W106" i="2"/>
  <c r="T106" i="2"/>
  <c r="P106" i="2"/>
  <c r="O106" i="2"/>
  <c r="AC105" i="2"/>
  <c r="Y105" i="2"/>
  <c r="X105" i="2"/>
  <c r="W105" i="2"/>
  <c r="T105" i="2"/>
  <c r="P105" i="2"/>
  <c r="O105" i="2"/>
  <c r="U103" i="2"/>
  <c r="U104" i="2" s="1"/>
  <c r="T103" i="2"/>
  <c r="S103" i="2"/>
  <c r="Q103" i="2"/>
  <c r="Q104" i="2" s="1"/>
  <c r="P103" i="2"/>
  <c r="P104" i="2" s="1"/>
  <c r="O104" i="2" s="1"/>
  <c r="O103" i="2"/>
  <c r="W102" i="2"/>
  <c r="O102" i="2"/>
  <c r="W101" i="2"/>
  <c r="O101" i="2"/>
  <c r="X100" i="2"/>
  <c r="Y100" i="2" s="1"/>
  <c r="W100" i="2"/>
  <c r="O100" i="2"/>
  <c r="W99" i="2"/>
  <c r="O99" i="2"/>
  <c r="W98" i="2"/>
  <c r="O98" i="2"/>
  <c r="Y97" i="2"/>
  <c r="W97" i="2"/>
  <c r="O97" i="2"/>
  <c r="AH96" i="2"/>
  <c r="Y96" i="2"/>
  <c r="X96" i="2"/>
  <c r="W96" i="2"/>
  <c r="S96" i="2"/>
  <c r="O96" i="2"/>
  <c r="S95" i="2"/>
  <c r="O95" i="2"/>
  <c r="S94" i="2"/>
  <c r="O94" i="2"/>
  <c r="Y93" i="2"/>
  <c r="W93" i="2"/>
  <c r="S93" i="2"/>
  <c r="O93" i="2"/>
  <c r="X92" i="2"/>
  <c r="W92" i="2"/>
  <c r="S92" i="2"/>
  <c r="O92" i="2"/>
  <c r="U91" i="2"/>
  <c r="T91" i="2"/>
  <c r="S91" i="2"/>
  <c r="Q91" i="2"/>
  <c r="P91" i="2"/>
  <c r="O91" i="2"/>
  <c r="X90" i="2"/>
  <c r="Y90" i="2" s="1"/>
  <c r="X95" i="2" s="1"/>
  <c r="W90" i="2"/>
  <c r="S90" i="2"/>
  <c r="O90" i="2"/>
  <c r="X89" i="2"/>
  <c r="W89" i="2"/>
  <c r="S89" i="2"/>
  <c r="O89" i="2"/>
  <c r="Y88" i="2"/>
  <c r="X88" i="2"/>
  <c r="W88" i="2"/>
  <c r="U88" i="2"/>
  <c r="T88" i="2"/>
  <c r="S88" i="2"/>
  <c r="Q88" i="2"/>
  <c r="P88" i="2"/>
  <c r="O88" i="2"/>
  <c r="X87" i="2"/>
  <c r="W87" i="2"/>
  <c r="X86" i="2"/>
  <c r="W86" i="2"/>
  <c r="W85" i="2"/>
  <c r="S85" i="2"/>
  <c r="O85" i="2"/>
  <c r="AC84" i="2"/>
  <c r="P84" i="2"/>
  <c r="AC83" i="2"/>
  <c r="AC154" i="2" s="1"/>
  <c r="AC162" i="2" s="1"/>
  <c r="AC163" i="2" s="1"/>
  <c r="Y83" i="2"/>
  <c r="Q83" i="2"/>
  <c r="P83" i="2"/>
  <c r="O83" i="2"/>
  <c r="Y82" i="2"/>
  <c r="W82" i="2"/>
  <c r="S82" i="2"/>
  <c r="Q82" i="2"/>
  <c r="O82" i="2"/>
  <c r="W81" i="2"/>
  <c r="S81" i="2"/>
  <c r="Q81" i="2"/>
  <c r="O81" i="2"/>
  <c r="Y80" i="2"/>
  <c r="W80" i="2"/>
  <c r="Q80" i="2"/>
  <c r="O80" i="2"/>
  <c r="Y79" i="2"/>
  <c r="W79" i="2"/>
  <c r="Q79" i="2"/>
  <c r="O79" i="2"/>
  <c r="Y78" i="2"/>
  <c r="W78" i="2"/>
  <c r="Q78" i="2"/>
  <c r="O78" i="2"/>
  <c r="Y77" i="2"/>
  <c r="W77" i="2"/>
  <c r="Q77" i="2"/>
  <c r="O77" i="2"/>
  <c r="Y76" i="2"/>
  <c r="W76" i="2"/>
  <c r="U76" i="2"/>
  <c r="Q76" i="2"/>
  <c r="O76" i="2"/>
  <c r="W75" i="2"/>
  <c r="Q75" i="2"/>
  <c r="O75" i="2"/>
  <c r="W74" i="2"/>
  <c r="U74" i="2"/>
  <c r="T77" i="2" s="1"/>
  <c r="O74" i="2"/>
  <c r="Y73" i="2"/>
  <c r="X73" i="2"/>
  <c r="W73" i="2"/>
  <c r="Q73" i="2"/>
  <c r="P73" i="2"/>
  <c r="O73" i="2"/>
  <c r="W71" i="2"/>
  <c r="U71" i="2"/>
  <c r="S71" i="2"/>
  <c r="O71" i="2"/>
  <c r="W70" i="2"/>
  <c r="U70" i="2"/>
  <c r="O70" i="2"/>
  <c r="W69" i="2"/>
  <c r="U69" i="2"/>
  <c r="Q69" i="2"/>
  <c r="O69" i="2"/>
  <c r="W68" i="2"/>
  <c r="U68" i="2"/>
  <c r="O68" i="2"/>
  <c r="W67" i="2"/>
  <c r="T67" i="2"/>
  <c r="O67" i="2"/>
  <c r="Y66" i="2"/>
  <c r="X66" i="2"/>
  <c r="W66" i="2"/>
  <c r="T66" i="2"/>
  <c r="Q66" i="2"/>
  <c r="P66" i="2"/>
  <c r="O66" i="2"/>
  <c r="W65" i="2"/>
  <c r="O65" i="2"/>
  <c r="W64" i="2"/>
  <c r="O64" i="2"/>
  <c r="W63" i="2"/>
  <c r="T63" i="2"/>
  <c r="O63" i="2"/>
  <c r="Y62" i="2"/>
  <c r="X62" i="2"/>
  <c r="W62" i="2"/>
  <c r="T62" i="2"/>
  <c r="Q62" i="2"/>
  <c r="P62" i="2"/>
  <c r="O62" i="2"/>
  <c r="W61" i="2"/>
  <c r="O61" i="2"/>
  <c r="W60" i="2"/>
  <c r="O60" i="2"/>
  <c r="X59" i="2"/>
  <c r="W59" i="2"/>
  <c r="O59" i="2"/>
  <c r="W58" i="2"/>
  <c r="U58" i="2"/>
  <c r="T59" i="2" s="1"/>
  <c r="S58" i="2"/>
  <c r="O58" i="2"/>
  <c r="Y57" i="2"/>
  <c r="W57" i="2"/>
  <c r="U57" i="2"/>
  <c r="S57" i="2"/>
  <c r="O57" i="2"/>
  <c r="W56" i="2"/>
  <c r="S56" i="2"/>
  <c r="O56" i="2"/>
  <c r="Y55" i="2"/>
  <c r="X55" i="2"/>
  <c r="W55" i="2"/>
  <c r="O55" i="2"/>
  <c r="T54" i="2"/>
  <c r="O54" i="2"/>
  <c r="T53" i="2"/>
  <c r="Q53" i="2"/>
  <c r="P53" i="2"/>
  <c r="O53" i="2"/>
  <c r="W52" i="2"/>
  <c r="O52" i="2"/>
  <c r="W51" i="2"/>
  <c r="Q51" i="2"/>
  <c r="O51" i="2"/>
  <c r="W50" i="2"/>
  <c r="O50" i="2"/>
  <c r="Y49" i="2"/>
  <c r="X49" i="2"/>
  <c r="W49" i="2"/>
  <c r="U49" i="2"/>
  <c r="T49" i="2"/>
  <c r="S49" i="2"/>
  <c r="Q49" i="2"/>
  <c r="P49" i="2"/>
  <c r="O49" i="2"/>
  <c r="W48" i="2"/>
  <c r="O48" i="2"/>
  <c r="W47" i="2"/>
  <c r="O47" i="2"/>
  <c r="W46" i="2"/>
  <c r="U46" i="2"/>
  <c r="O46" i="2"/>
  <c r="W45" i="2"/>
  <c r="U45" i="2"/>
  <c r="O45" i="2"/>
  <c r="Y44" i="2"/>
  <c r="X44" i="2"/>
  <c r="W44" i="2"/>
  <c r="U44" i="2"/>
  <c r="T44" i="2"/>
  <c r="S44" i="2"/>
  <c r="Q44" i="2"/>
  <c r="P44" i="2"/>
  <c r="O44" i="2"/>
  <c r="W43" i="2"/>
  <c r="U43" i="2"/>
  <c r="Q43" i="2"/>
  <c r="X40" i="2"/>
  <c r="Y40" i="2" s="1"/>
  <c r="P40" i="2"/>
  <c r="Q40" i="2" s="1"/>
  <c r="W38" i="2"/>
  <c r="S38" i="2"/>
  <c r="O38" i="2"/>
  <c r="Y36" i="2"/>
  <c r="U36" i="2"/>
  <c r="Q36" i="2"/>
  <c r="Y35" i="2"/>
  <c r="Z35" i="2" s="1"/>
  <c r="W35" i="2"/>
  <c r="U35" i="2"/>
  <c r="S35" i="2"/>
  <c r="Q35" i="2"/>
  <c r="O35" i="2"/>
  <c r="W32" i="2"/>
  <c r="U32" i="2"/>
  <c r="S32" i="2"/>
  <c r="Q32" i="2"/>
  <c r="O32" i="2"/>
  <c r="Y31" i="2"/>
  <c r="Y33" i="2" s="1"/>
  <c r="X31" i="2"/>
  <c r="X33" i="2" s="1"/>
  <c r="W33" i="2" s="1"/>
  <c r="W31" i="2"/>
  <c r="U31" i="2"/>
  <c r="U33" i="2" s="1"/>
  <c r="T31" i="2"/>
  <c r="S31" i="2"/>
  <c r="Q31" i="2"/>
  <c r="Q33" i="2" s="1"/>
  <c r="P31" i="2"/>
  <c r="P33" i="2" s="1"/>
  <c r="O33" i="2" s="1"/>
  <c r="O31" i="2"/>
  <c r="W30" i="2"/>
  <c r="S30" i="2"/>
  <c r="O30" i="2"/>
  <c r="Y29" i="2"/>
  <c r="X29" i="2"/>
  <c r="W29" i="2"/>
  <c r="U29" i="2"/>
  <c r="Q29" i="2"/>
  <c r="P29" i="2"/>
  <c r="O29" i="2"/>
  <c r="Y24" i="2"/>
  <c r="P21" i="2"/>
  <c r="Q21" i="2" s="1"/>
  <c r="P25" i="2" s="1"/>
  <c r="Q25" i="2" s="1"/>
  <c r="P26" i="2" s="1"/>
  <c r="Q26" i="2" s="1"/>
  <c r="X20" i="2"/>
  <c r="W20" i="2"/>
  <c r="P20" i="2"/>
  <c r="O20" i="2"/>
  <c r="Y19" i="2"/>
  <c r="Y18" i="2"/>
  <c r="X22" i="2" s="1"/>
  <c r="W17" i="2"/>
  <c r="U17" i="2"/>
  <c r="T20" i="2" s="1"/>
  <c r="P17" i="2"/>
  <c r="O17" i="2"/>
  <c r="Q15" i="2"/>
  <c r="P15" i="2"/>
  <c r="O15" i="2"/>
  <c r="X13" i="2"/>
  <c r="Y13" i="2" s="1"/>
  <c r="W13" i="2"/>
  <c r="U13" i="2"/>
  <c r="AC12" i="2"/>
  <c r="Y12" i="2"/>
  <c r="W12" i="2"/>
  <c r="U12" i="2"/>
  <c r="Q12" i="2"/>
  <c r="P12" i="2"/>
  <c r="P13" i="2" s="1"/>
  <c r="O12" i="2"/>
  <c r="AI7" i="2"/>
  <c r="AJ7" i="2" s="1"/>
  <c r="AK7" i="2" s="1"/>
  <c r="AL7" i="2" s="1"/>
  <c r="AM7" i="2" s="1"/>
  <c r="AN7" i="2" s="1"/>
  <c r="AO7" i="2" s="1"/>
  <c r="AP7" i="2" s="1"/>
  <c r="AQ7" i="2" s="1"/>
  <c r="AR7" i="2" s="1"/>
  <c r="AS7" i="2" s="1"/>
  <c r="AT7" i="2" s="1"/>
  <c r="AU7" i="2" s="1"/>
  <c r="AV7" i="2" s="1"/>
  <c r="AW7" i="2" s="1"/>
  <c r="AX7" i="2" s="1"/>
  <c r="AY7" i="2" s="1"/>
  <c r="AZ7" i="2" s="1"/>
  <c r="BA7" i="2" s="1"/>
  <c r="BB7" i="2" s="1"/>
  <c r="BC7" i="2" s="1"/>
  <c r="BD7" i="2" s="1"/>
  <c r="BE7" i="2" s="1"/>
  <c r="BF7" i="2" s="1"/>
  <c r="BG7" i="2" s="1"/>
  <c r="BH7" i="2" s="1"/>
  <c r="BI7" i="2" s="1"/>
  <c r="BJ7" i="2" s="1"/>
  <c r="BK7" i="2" s="1"/>
  <c r="BL7" i="2" s="1"/>
  <c r="BM7" i="2" s="1"/>
  <c r="BN7" i="2" s="1"/>
  <c r="BO7" i="2" s="1"/>
  <c r="BP7" i="2" s="1"/>
  <c r="BQ7" i="2" s="1"/>
  <c r="P117" i="1"/>
  <c r="O117" i="1"/>
  <c r="P116" i="1"/>
  <c r="O116" i="1"/>
  <c r="R115" i="1"/>
  <c r="Q115" i="1"/>
  <c r="P115" i="1"/>
  <c r="O115" i="1"/>
  <c r="P114" i="1"/>
  <c r="O114" i="1"/>
  <c r="P113" i="1"/>
  <c r="O113" i="1"/>
  <c r="R112" i="1"/>
  <c r="Q112" i="1"/>
  <c r="P112" i="1"/>
  <c r="O112" i="1"/>
  <c r="P111" i="1"/>
  <c r="O111" i="1"/>
  <c r="R110" i="1"/>
  <c r="Q110" i="1"/>
  <c r="P110" i="1"/>
  <c r="O110" i="1"/>
  <c r="R109" i="1"/>
  <c r="Q109" i="1"/>
  <c r="P109" i="1"/>
  <c r="O109" i="1"/>
  <c r="P108" i="1"/>
  <c r="O108" i="1"/>
  <c r="P107" i="1"/>
  <c r="O107" i="1"/>
  <c r="P106" i="1"/>
  <c r="O106" i="1"/>
  <c r="P105" i="1"/>
  <c r="O105" i="1"/>
  <c r="R104" i="1"/>
  <c r="Q104" i="1"/>
  <c r="P104" i="1"/>
  <c r="O104" i="1"/>
  <c r="P103" i="1"/>
  <c r="O103" i="1"/>
  <c r="P102" i="1"/>
  <c r="O102" i="1"/>
  <c r="R101" i="1"/>
  <c r="Q101" i="1"/>
  <c r="Q97" i="1" s="1"/>
  <c r="P101" i="1"/>
  <c r="O101" i="1"/>
  <c r="P100" i="1"/>
  <c r="O100" i="1"/>
  <c r="P99" i="1"/>
  <c r="O99" i="1"/>
  <c r="R98" i="1"/>
  <c r="Q98" i="1"/>
  <c r="P98" i="1"/>
  <c r="O98" i="1"/>
  <c r="R97" i="1"/>
  <c r="P97" i="1"/>
  <c r="O97" i="1"/>
  <c r="P96" i="1"/>
  <c r="O96" i="1"/>
  <c r="P95" i="1"/>
  <c r="O95" i="1"/>
  <c r="R94" i="1"/>
  <c r="Q94" i="1"/>
  <c r="P94" i="1"/>
  <c r="O94" i="1"/>
  <c r="P93" i="1"/>
  <c r="O93" i="1"/>
  <c r="P92" i="1"/>
  <c r="O92" i="1"/>
  <c r="R91" i="1"/>
  <c r="Q91" i="1"/>
  <c r="P91" i="1"/>
  <c r="O91" i="1"/>
  <c r="P90" i="1"/>
  <c r="O90" i="1"/>
  <c r="P89" i="1"/>
  <c r="O89" i="1"/>
  <c r="R88" i="1"/>
  <c r="Q88" i="1"/>
  <c r="P88" i="1"/>
  <c r="O88" i="1"/>
  <c r="R87" i="1"/>
  <c r="Q87" i="1"/>
  <c r="P87" i="1"/>
  <c r="O87" i="1"/>
  <c r="R86" i="1"/>
  <c r="Q86" i="1"/>
  <c r="P86" i="1"/>
  <c r="O86" i="1" s="1"/>
  <c r="P85" i="1"/>
  <c r="O85" i="1"/>
  <c r="P84" i="1"/>
  <c r="O84" i="1"/>
  <c r="P83" i="1"/>
  <c r="O83" i="1"/>
  <c r="P82" i="1"/>
  <c r="O82" i="1"/>
  <c r="R81" i="1"/>
  <c r="Q81" i="1"/>
  <c r="P81" i="1"/>
  <c r="O81" i="1"/>
  <c r="P80" i="1"/>
  <c r="O80" i="1"/>
  <c r="P79" i="1"/>
  <c r="O79" i="1"/>
  <c r="P78" i="1"/>
  <c r="O78" i="1"/>
  <c r="R77" i="1"/>
  <c r="Q77" i="1"/>
  <c r="Q71" i="1" s="1"/>
  <c r="Q70" i="1" s="1"/>
  <c r="P77" i="1"/>
  <c r="O77" i="1"/>
  <c r="P76" i="1"/>
  <c r="O76" i="1"/>
  <c r="P75" i="1"/>
  <c r="O75" i="1"/>
  <c r="P74" i="1"/>
  <c r="O74" i="1"/>
  <c r="P73" i="1"/>
  <c r="O73" i="1"/>
  <c r="R72" i="1"/>
  <c r="Q72" i="1"/>
  <c r="P72" i="1"/>
  <c r="O72" i="1"/>
  <c r="R71" i="1"/>
  <c r="P71" i="1"/>
  <c r="O71" i="1"/>
  <c r="R70" i="1"/>
  <c r="P69" i="1"/>
  <c r="O69" i="1"/>
  <c r="P68" i="1"/>
  <c r="O68" i="1"/>
  <c r="P67" i="1"/>
  <c r="O67" i="1"/>
  <c r="P66" i="1"/>
  <c r="O66" i="1"/>
  <c r="P65" i="1"/>
  <c r="O65" i="1"/>
  <c r="R64" i="1"/>
  <c r="Q64" i="1"/>
  <c r="P64" i="1"/>
  <c r="O64" i="1"/>
  <c r="P63" i="1"/>
  <c r="O63" i="1"/>
  <c r="P62" i="1"/>
  <c r="O62" i="1"/>
  <c r="P61" i="1"/>
  <c r="O61" i="1"/>
  <c r="P60" i="1"/>
  <c r="O60" i="1"/>
  <c r="R59" i="1"/>
  <c r="Q59" i="1"/>
  <c r="P59" i="1"/>
  <c r="O59" i="1"/>
  <c r="P58" i="1"/>
  <c r="O58" i="1"/>
  <c r="P57" i="1"/>
  <c r="O57" i="1"/>
  <c r="P56" i="1"/>
  <c r="O56" i="1"/>
  <c r="P55" i="1"/>
  <c r="O55" i="1"/>
  <c r="R54" i="1"/>
  <c r="Q54" i="1"/>
  <c r="P54" i="1"/>
  <c r="O54" i="1"/>
  <c r="P53" i="1"/>
  <c r="O53" i="1"/>
  <c r="P52" i="1"/>
  <c r="O52" i="1"/>
  <c r="P51" i="1"/>
  <c r="O51" i="1"/>
  <c r="P50" i="1"/>
  <c r="O50" i="1"/>
  <c r="P49" i="1"/>
  <c r="O49" i="1"/>
  <c r="R48" i="1"/>
  <c r="Q48" i="1"/>
  <c r="P48" i="1"/>
  <c r="O48" i="1"/>
  <c r="R47" i="1"/>
  <c r="Q47" i="1"/>
  <c r="P47" i="1"/>
  <c r="O47" i="1"/>
  <c r="R46" i="1"/>
  <c r="Q46" i="1"/>
  <c r="P46" i="1"/>
  <c r="O46" i="1"/>
  <c r="P45" i="1"/>
  <c r="O45" i="1"/>
  <c r="P44" i="1"/>
  <c r="O44" i="1"/>
  <c r="P43" i="1"/>
  <c r="O43" i="1"/>
  <c r="R42" i="1"/>
  <c r="Q42" i="1"/>
  <c r="P42" i="1"/>
  <c r="O42" i="1"/>
  <c r="R41" i="1"/>
  <c r="Q41" i="1"/>
  <c r="P41" i="1"/>
  <c r="O41" i="1"/>
  <c r="P40" i="1"/>
  <c r="O40" i="1"/>
  <c r="P39" i="1"/>
  <c r="O39" i="1"/>
  <c r="R38" i="1"/>
  <c r="Q38" i="1"/>
  <c r="P38" i="1"/>
  <c r="O38" i="1"/>
  <c r="P37" i="1"/>
  <c r="O37" i="1"/>
  <c r="P36" i="1"/>
  <c r="O36" i="1"/>
  <c r="R35" i="1"/>
  <c r="Q35" i="1"/>
  <c r="P35" i="1"/>
  <c r="O35" i="1"/>
  <c r="R34" i="1"/>
  <c r="Q34" i="1"/>
  <c r="P34" i="1"/>
  <c r="O34" i="1"/>
  <c r="P33" i="1"/>
  <c r="O33" i="1"/>
  <c r="P32" i="1"/>
  <c r="O32" i="1"/>
  <c r="R31" i="1"/>
  <c r="Q31" i="1"/>
  <c r="P31" i="1"/>
  <c r="O31" i="1"/>
  <c r="P30" i="1"/>
  <c r="O30" i="1"/>
  <c r="R29" i="1"/>
  <c r="Q29" i="1"/>
  <c r="P29" i="1"/>
  <c r="O29" i="1"/>
  <c r="P28" i="1"/>
  <c r="O28" i="1"/>
  <c r="P27" i="1"/>
  <c r="O27" i="1"/>
  <c r="R26" i="1"/>
  <c r="Q26" i="1"/>
  <c r="P26" i="1"/>
  <c r="O26" i="1"/>
  <c r="R25" i="1"/>
  <c r="Q25" i="1"/>
  <c r="P25" i="1"/>
  <c r="O25" i="1"/>
  <c r="P24" i="1"/>
  <c r="O24" i="1"/>
  <c r="P23" i="1"/>
  <c r="O23" i="1"/>
  <c r="P22" i="1"/>
  <c r="O22" i="1"/>
  <c r="R21" i="1"/>
  <c r="Q21" i="1"/>
  <c r="P21" i="1"/>
  <c r="O21" i="1"/>
  <c r="U20" i="1"/>
  <c r="T20" i="1"/>
  <c r="P20" i="1"/>
  <c r="O20" i="1"/>
  <c r="U19" i="1"/>
  <c r="T19" i="1"/>
  <c r="P19" i="1"/>
  <c r="O19" i="1"/>
  <c r="U18" i="1"/>
  <c r="T18" i="1"/>
  <c r="P18" i="1"/>
  <c r="O18" i="1"/>
  <c r="U17" i="1"/>
  <c r="T17" i="1"/>
  <c r="R17" i="1"/>
  <c r="Q17" i="1"/>
  <c r="P17" i="1"/>
  <c r="O17" i="1"/>
  <c r="W16" i="1"/>
  <c r="V16" i="1"/>
  <c r="U16" i="1"/>
  <c r="T16" i="1"/>
  <c r="R16" i="1"/>
  <c r="Q16" i="1"/>
  <c r="P16" i="1"/>
  <c r="O16" i="1"/>
  <c r="U15" i="1"/>
  <c r="T15" i="1"/>
  <c r="P15" i="1"/>
  <c r="O15" i="1"/>
  <c r="U14" i="1"/>
  <c r="T14" i="1"/>
  <c r="P14" i="1"/>
  <c r="O14" i="1"/>
  <c r="U13" i="1"/>
  <c r="T13" i="1"/>
  <c r="P13" i="1"/>
  <c r="O13" i="1"/>
  <c r="U12" i="1"/>
  <c r="T12" i="1"/>
  <c r="P12" i="1"/>
  <c r="O12" i="1"/>
  <c r="W11" i="1"/>
  <c r="V11" i="1"/>
  <c r="U11" i="1"/>
  <c r="T11" i="1"/>
  <c r="R11" i="1"/>
  <c r="Q11" i="1"/>
  <c r="P11" i="1"/>
  <c r="O11" i="1"/>
  <c r="W10" i="1"/>
  <c r="V10" i="1"/>
  <c r="U10" i="1" s="1"/>
  <c r="T10" i="1"/>
  <c r="R10" i="1"/>
  <c r="Q10" i="1"/>
  <c r="P10" i="1"/>
  <c r="O10" i="1"/>
  <c r="W9" i="1"/>
  <c r="V9" i="1"/>
  <c r="U9" i="1"/>
  <c r="T9" i="1"/>
  <c r="R9" i="1"/>
  <c r="Q9" i="1"/>
  <c r="P9" i="1"/>
  <c r="O9" i="1"/>
  <c r="AE8" i="1"/>
  <c r="AE7" i="1"/>
  <c r="AF7" i="1" s="1"/>
  <c r="AG7" i="1" s="1"/>
  <c r="AH7" i="1" s="1"/>
  <c r="AI7" i="1" s="1"/>
  <c r="AJ7" i="1" s="1"/>
  <c r="AK7" i="1" s="1"/>
  <c r="AL7" i="1" s="1"/>
  <c r="AM7" i="1" s="1"/>
  <c r="AN7" i="1" s="1"/>
  <c r="AO7" i="1" s="1"/>
  <c r="AP7" i="1" s="1"/>
  <c r="AQ7" i="1" s="1"/>
  <c r="AR7" i="1" s="1"/>
  <c r="AS7" i="1" s="1"/>
  <c r="AT7" i="1" s="1"/>
  <c r="AU7" i="1" s="1"/>
  <c r="AV7" i="1" s="1"/>
  <c r="AW7" i="1" s="1"/>
  <c r="AX7" i="1" s="1"/>
  <c r="AY7" i="1" s="1"/>
  <c r="AZ7" i="1" s="1"/>
  <c r="BA7" i="1" s="1"/>
  <c r="BB7" i="1" s="1"/>
  <c r="BC7" i="1" s="1"/>
  <c r="BD7" i="1" s="1"/>
  <c r="BE7" i="1" s="1"/>
  <c r="BF7" i="1" s="1"/>
  <c r="BG7" i="1" s="1"/>
  <c r="BH7" i="1" s="1"/>
  <c r="BI7" i="1" s="1"/>
  <c r="BJ7" i="1" s="1"/>
  <c r="BK7" i="1" s="1"/>
  <c r="BL7" i="1" s="1"/>
  <c r="BM7" i="1" s="1"/>
  <c r="AF8" i="1" l="1" a="1"/>
  <c r="AF8" i="1" s="1"/>
  <c r="AE118" i="1"/>
  <c r="P70" i="1"/>
  <c r="O70" i="1" s="1"/>
  <c r="U59" i="1"/>
  <c r="T59" i="1" s="1"/>
  <c r="Y70" i="1"/>
  <c r="U72" i="1"/>
  <c r="T72" i="1" s="1"/>
  <c r="U64" i="1"/>
  <c r="T64" i="1" s="1"/>
  <c r="U47" i="1"/>
  <c r="T48" i="1"/>
  <c r="T47" i="1"/>
  <c r="Y16" i="1"/>
  <c r="V41" i="1"/>
  <c r="U46" i="1"/>
  <c r="T46" i="1" s="1"/>
  <c r="Y25" i="1"/>
  <c r="U25" i="1"/>
  <c r="T25" i="1" s="1"/>
  <c r="AE9" i="1"/>
  <c r="AE10" i="1"/>
  <c r="AE11" i="1"/>
  <c r="AE16" i="1"/>
  <c r="AE17" i="1"/>
  <c r="AE25" i="1"/>
  <c r="AE26" i="1"/>
  <c r="AE46" i="1"/>
  <c r="AE47" i="1"/>
  <c r="AE48" i="1"/>
  <c r="AE54" i="1"/>
  <c r="AE59" i="1"/>
  <c r="AE64" i="1"/>
  <c r="AE70" i="1"/>
  <c r="AE72" i="1"/>
  <c r="AE77" i="1"/>
  <c r="AE81" i="1"/>
  <c r="AE86" i="1"/>
  <c r="AE87" i="1"/>
  <c r="AE91" i="1"/>
  <c r="AE97" i="1"/>
  <c r="AE98" i="1"/>
  <c r="AE109" i="1"/>
  <c r="AE110" i="1"/>
  <c r="Q13" i="2"/>
  <c r="O13" i="2"/>
  <c r="U20" i="2"/>
  <c r="Y22" i="2"/>
  <c r="T33" i="2"/>
  <c r="P42" i="2"/>
  <c r="Q42" i="2" s="1"/>
  <c r="P41" i="2"/>
  <c r="P37" i="2"/>
  <c r="T42" i="2"/>
  <c r="T41" i="2"/>
  <c r="T37" i="2"/>
  <c r="X42" i="2"/>
  <c r="Y42" i="2" s="1"/>
  <c r="X41" i="2"/>
  <c r="X37" i="2"/>
  <c r="Z36" i="2"/>
  <c r="X54" i="2"/>
  <c r="U54" i="2"/>
  <c r="U59" i="2"/>
  <c r="S59" i="2"/>
  <c r="U63" i="2"/>
  <c r="U62" i="2" s="1"/>
  <c r="S62" i="2" s="1"/>
  <c r="U67" i="2"/>
  <c r="U66" i="2" s="1"/>
  <c r="S66" i="2" s="1"/>
  <c r="T79" i="2"/>
  <c r="T78" i="2"/>
  <c r="U77" i="2"/>
  <c r="Y95" i="2"/>
  <c r="W95" i="2"/>
  <c r="Y103" i="2"/>
  <c r="Y104" i="2" s="1"/>
  <c r="X94" i="2" s="1"/>
  <c r="X103" i="2"/>
  <c r="T104" i="2"/>
  <c r="Q113" i="2"/>
  <c r="Q106" i="2"/>
  <c r="Q105" i="2" s="1"/>
  <c r="Q84" i="2" s="1"/>
  <c r="O84" i="2" s="1"/>
  <c r="U106" i="2"/>
  <c r="U105" i="2" s="1"/>
  <c r="U109" i="2"/>
  <c r="P111" i="2"/>
  <c r="Q110" i="2"/>
  <c r="O110" i="2" s="1"/>
  <c r="T111" i="2"/>
  <c r="U110" i="2"/>
  <c r="S110" i="2" s="1"/>
  <c r="P120" i="2"/>
  <c r="Q119" i="2"/>
  <c r="Q114" i="2" s="1"/>
  <c r="U121" i="2"/>
  <c r="U114" i="2" s="1"/>
  <c r="X143" i="2"/>
  <c r="Y142" i="2"/>
  <c r="AG8" i="1" l="1" a="1"/>
  <c r="AG8" i="1" s="1"/>
  <c r="AF118" i="1"/>
  <c r="Y9" i="1"/>
  <c r="V38" i="1"/>
  <c r="U41" i="1"/>
  <c r="T41" i="1" s="1"/>
  <c r="W142" i="2"/>
  <c r="Y143" i="2"/>
  <c r="Y133" i="2" s="1"/>
  <c r="W143" i="2"/>
  <c r="X133" i="2"/>
  <c r="W133" i="2" s="1"/>
  <c r="Q120" i="2"/>
  <c r="O120" i="2"/>
  <c r="S111" i="2"/>
  <c r="S112" i="2" s="1"/>
  <c r="S105" i="2"/>
  <c r="T112" i="2"/>
  <c r="U111" i="2"/>
  <c r="P112" i="2"/>
  <c r="Q111" i="2"/>
  <c r="O111" i="2"/>
  <c r="U84" i="2"/>
  <c r="U83" i="2"/>
  <c r="P121" i="2"/>
  <c r="O113" i="2"/>
  <c r="S104" i="2"/>
  <c r="T84" i="2"/>
  <c r="X104" i="2"/>
  <c r="W104" i="2" s="1"/>
  <c r="W103" i="2"/>
  <c r="Y94" i="2"/>
  <c r="Y91" i="2" s="1"/>
  <c r="Y84" i="2" s="1"/>
  <c r="W94" i="2"/>
  <c r="X91" i="2"/>
  <c r="U79" i="2"/>
  <c r="T80" i="2"/>
  <c r="U78" i="2"/>
  <c r="Y54" i="2"/>
  <c r="Y53" i="2" s="1"/>
  <c r="U53" i="2"/>
  <c r="S53" i="2" s="1"/>
  <c r="W54" i="2"/>
  <c r="X53" i="2"/>
  <c r="W53" i="2" s="1"/>
  <c r="Y37" i="2"/>
  <c r="X34" i="2"/>
  <c r="Y41" i="2"/>
  <c r="Y39" i="2" s="1"/>
  <c r="X39" i="2"/>
  <c r="W39" i="2" s="1"/>
  <c r="U37" i="2"/>
  <c r="U34" i="2" s="1"/>
  <c r="T34" i="2"/>
  <c r="U41" i="2"/>
  <c r="U42" i="2"/>
  <c r="Q37" i="2"/>
  <c r="Q34" i="2" s="1"/>
  <c r="P34" i="2"/>
  <c r="Q41" i="2"/>
  <c r="Q39" i="2" s="1"/>
  <c r="P39" i="2"/>
  <c r="O39" i="2" s="1"/>
  <c r="S33" i="2"/>
  <c r="T29" i="2"/>
  <c r="X23" i="2"/>
  <c r="T40" i="2"/>
  <c r="T21" i="2"/>
  <c r="AE117" i="1"/>
  <c r="AE116" i="1"/>
  <c r="AE99" i="1"/>
  <c r="AE80" i="1"/>
  <c r="AE79" i="1"/>
  <c r="AE78" i="1"/>
  <c r="AE73" i="1"/>
  <c r="AE65" i="1"/>
  <c r="AE63" i="1"/>
  <c r="AE62" i="1"/>
  <c r="AE61" i="1"/>
  <c r="AE60" i="1"/>
  <c r="AE58" i="1"/>
  <c r="AE57" i="1"/>
  <c r="AE56" i="1"/>
  <c r="AE55" i="1"/>
  <c r="AE51" i="1"/>
  <c r="AE50" i="1"/>
  <c r="AE49" i="1"/>
  <c r="AE23" i="1"/>
  <c r="AE19" i="1"/>
  <c r="AE18" i="1"/>
  <c r="AE14" i="1"/>
  <c r="AE13" i="1"/>
  <c r="AE12" i="1"/>
  <c r="AH8" i="1" l="1" a="1"/>
  <c r="AH8" i="1" s="1"/>
  <c r="AG118" i="1"/>
  <c r="U38" i="1"/>
  <c r="T38" i="1" s="1"/>
  <c r="V35" i="1"/>
  <c r="U35" i="1" s="1"/>
  <c r="T35" i="1" s="1"/>
  <c r="V34" i="1"/>
  <c r="U34" i="1" s="1"/>
  <c r="T34" i="1" s="1"/>
  <c r="AG9" i="1"/>
  <c r="AF9" i="1"/>
  <c r="AG10" i="1"/>
  <c r="AF10" i="1"/>
  <c r="AG11" i="1"/>
  <c r="AF11" i="1"/>
  <c r="AG16" i="1"/>
  <c r="AF16" i="1"/>
  <c r="AG17" i="1"/>
  <c r="AF17" i="1"/>
  <c r="AG25" i="1"/>
  <c r="AF25" i="1"/>
  <c r="AG26" i="1"/>
  <c r="AF26" i="1"/>
  <c r="AG46" i="1"/>
  <c r="AF46" i="1"/>
  <c r="AG47" i="1"/>
  <c r="AF47" i="1"/>
  <c r="AG48" i="1"/>
  <c r="AF48" i="1"/>
  <c r="AG54" i="1"/>
  <c r="AF54" i="1"/>
  <c r="AG59" i="1"/>
  <c r="AF59" i="1"/>
  <c r="AG64" i="1"/>
  <c r="AF64" i="1"/>
  <c r="AG70" i="1"/>
  <c r="AF70" i="1"/>
  <c r="AG72" i="1"/>
  <c r="AF72" i="1"/>
  <c r="AG77" i="1"/>
  <c r="AF77" i="1"/>
  <c r="AG81" i="1"/>
  <c r="AF81" i="1"/>
  <c r="AG86" i="1"/>
  <c r="AF86" i="1"/>
  <c r="AG87" i="1"/>
  <c r="AF87" i="1"/>
  <c r="AG91" i="1"/>
  <c r="AF91" i="1"/>
  <c r="AG97" i="1"/>
  <c r="AF97" i="1"/>
  <c r="AG98" i="1"/>
  <c r="AF98" i="1"/>
  <c r="AG109" i="1"/>
  <c r="AF109" i="1"/>
  <c r="AG110" i="1"/>
  <c r="AF110" i="1"/>
  <c r="AF117" i="1"/>
  <c r="AF116" i="1"/>
  <c r="AF99" i="1"/>
  <c r="AF80" i="1"/>
  <c r="AF79" i="1"/>
  <c r="AF78" i="1"/>
  <c r="AF73" i="1"/>
  <c r="AF65" i="1"/>
  <c r="AF63" i="1"/>
  <c r="AF62" i="1"/>
  <c r="AF61" i="1"/>
  <c r="AF60" i="1"/>
  <c r="AF58" i="1"/>
  <c r="AF57" i="1"/>
  <c r="AF56" i="1"/>
  <c r="AF55" i="1"/>
  <c r="AF51" i="1"/>
  <c r="AF50" i="1"/>
  <c r="AF49" i="1"/>
  <c r="AF23" i="1"/>
  <c r="AF19" i="1"/>
  <c r="AF18" i="1"/>
  <c r="AF14" i="1"/>
  <c r="AF13" i="1"/>
  <c r="AF12" i="1"/>
  <c r="T22" i="2"/>
  <c r="U21" i="2"/>
  <c r="U40" i="2"/>
  <c r="U39" i="2" s="1"/>
  <c r="T39" i="2"/>
  <c r="Y23" i="2"/>
  <c r="Y21" i="2" s="1"/>
  <c r="X21" i="2"/>
  <c r="S29" i="2"/>
  <c r="O34" i="2"/>
  <c r="P27" i="2"/>
  <c r="Q27" i="2"/>
  <c r="S34" i="2"/>
  <c r="X27" i="2"/>
  <c r="Z37" i="2"/>
  <c r="Y34" i="2"/>
  <c r="U80" i="2"/>
  <c r="U75" i="2"/>
  <c r="U73" i="2" s="1"/>
  <c r="U27" i="2" s="1"/>
  <c r="T75" i="2"/>
  <c r="W91" i="2"/>
  <c r="X84" i="2"/>
  <c r="S84" i="2"/>
  <c r="T83" i="2"/>
  <c r="Q121" i="2"/>
  <c r="O121" i="2"/>
  <c r="Q112" i="2"/>
  <c r="O112" i="2"/>
  <c r="U112" i="2"/>
  <c r="AI8" i="1" l="1" a="1"/>
  <c r="AI8" i="1" s="1"/>
  <c r="AH118" i="1"/>
  <c r="W84" i="2"/>
  <c r="X83" i="2"/>
  <c r="W83" i="2" s="1"/>
  <c r="S75" i="2"/>
  <c r="T73" i="2"/>
  <c r="Y27" i="2"/>
  <c r="W34" i="2"/>
  <c r="W27" i="2"/>
  <c r="W21" i="2"/>
  <c r="X25" i="2"/>
  <c r="S39" i="2"/>
  <c r="T25" i="2"/>
  <c r="T23" i="2"/>
  <c r="U22" i="2"/>
  <c r="AH9" i="1"/>
  <c r="AH10" i="1"/>
  <c r="AH11" i="1"/>
  <c r="AH16" i="1"/>
  <c r="AH17" i="1"/>
  <c r="AH25" i="1"/>
  <c r="AH26" i="1"/>
  <c r="AH46" i="1"/>
  <c r="AH47" i="1"/>
  <c r="AH48" i="1"/>
  <c r="AH54" i="1"/>
  <c r="AH59" i="1"/>
  <c r="AH64" i="1"/>
  <c r="AH70" i="1"/>
  <c r="AH72" i="1"/>
  <c r="AH77" i="1"/>
  <c r="AH81" i="1"/>
  <c r="AH86" i="1"/>
  <c r="AH87" i="1"/>
  <c r="AH91" i="1"/>
  <c r="AH97" i="1"/>
  <c r="AH98" i="1"/>
  <c r="AH109" i="1"/>
  <c r="AH110" i="1"/>
  <c r="AG117" i="1"/>
  <c r="AG116" i="1"/>
  <c r="AG99" i="1"/>
  <c r="AG80" i="1"/>
  <c r="AG79" i="1"/>
  <c r="AG78" i="1"/>
  <c r="AG73" i="1"/>
  <c r="AG65" i="1"/>
  <c r="AG63" i="1"/>
  <c r="AG62" i="1"/>
  <c r="AG61" i="1"/>
  <c r="AG60" i="1"/>
  <c r="AG58" i="1"/>
  <c r="AG57" i="1"/>
  <c r="AG56" i="1"/>
  <c r="AG55" i="1"/>
  <c r="AG51" i="1"/>
  <c r="AG50" i="1"/>
  <c r="AG49" i="1"/>
  <c r="AG23" i="1"/>
  <c r="AG19" i="1"/>
  <c r="AG18" i="1"/>
  <c r="AG14" i="1"/>
  <c r="AG13" i="1"/>
  <c r="AG12" i="1"/>
  <c r="AJ8" i="1" l="1" a="1"/>
  <c r="AJ8" i="1" s="1"/>
  <c r="AI118" i="1"/>
  <c r="AI9" i="1"/>
  <c r="AI10" i="1"/>
  <c r="AI11" i="1"/>
  <c r="AI16" i="1"/>
  <c r="AI17" i="1"/>
  <c r="AI25" i="1"/>
  <c r="AI26" i="1"/>
  <c r="AI46" i="1"/>
  <c r="AI47" i="1"/>
  <c r="AI48" i="1"/>
  <c r="AI54" i="1"/>
  <c r="AI59" i="1"/>
  <c r="AI64" i="1"/>
  <c r="AI70" i="1"/>
  <c r="AI72" i="1"/>
  <c r="AI77" i="1"/>
  <c r="AI81" i="1"/>
  <c r="AI86" i="1"/>
  <c r="AI87" i="1"/>
  <c r="AI91" i="1"/>
  <c r="AI97" i="1"/>
  <c r="AI98" i="1"/>
  <c r="AI109" i="1"/>
  <c r="AI110" i="1"/>
  <c r="AH117" i="1"/>
  <c r="AH116" i="1"/>
  <c r="AH99" i="1"/>
  <c r="AH80" i="1"/>
  <c r="AH79" i="1"/>
  <c r="AH78" i="1"/>
  <c r="AH73" i="1"/>
  <c r="AH65" i="1"/>
  <c r="AH63" i="1"/>
  <c r="AH62" i="1"/>
  <c r="AH61" i="1"/>
  <c r="AH60" i="1"/>
  <c r="AH58" i="1"/>
  <c r="AH57" i="1"/>
  <c r="AH56" i="1"/>
  <c r="AH55" i="1"/>
  <c r="AH51" i="1"/>
  <c r="AH50" i="1"/>
  <c r="AH49" i="1"/>
  <c r="AH23" i="1"/>
  <c r="AH19" i="1"/>
  <c r="AH18" i="1"/>
  <c r="AH14" i="1"/>
  <c r="AH13" i="1"/>
  <c r="AH12" i="1"/>
  <c r="T24" i="2"/>
  <c r="U23" i="2"/>
  <c r="U25" i="2"/>
  <c r="T26" i="2" s="1"/>
  <c r="Y25" i="2"/>
  <c r="S73" i="2"/>
  <c r="T27" i="2"/>
  <c r="AK8" i="1" l="1" a="1"/>
  <c r="AK8" i="1" s="1"/>
  <c r="AJ118" i="1"/>
  <c r="S27" i="2"/>
  <c r="AI8" i="2"/>
  <c r="X26" i="2"/>
  <c r="U26" i="2"/>
  <c r="T15" i="2"/>
  <c r="U24" i="2"/>
  <c r="AJ9" i="1"/>
  <c r="AJ10" i="1"/>
  <c r="AJ11" i="1"/>
  <c r="AJ16" i="1"/>
  <c r="AJ17" i="1"/>
  <c r="AJ25" i="1"/>
  <c r="AJ26" i="1"/>
  <c r="AJ46" i="1"/>
  <c r="AJ47" i="1"/>
  <c r="AJ48" i="1"/>
  <c r="AJ54" i="1"/>
  <c r="AJ59" i="1"/>
  <c r="AJ64" i="1"/>
  <c r="AJ70" i="1"/>
  <c r="AJ72" i="1"/>
  <c r="AJ77" i="1"/>
  <c r="AJ81" i="1"/>
  <c r="AJ86" i="1"/>
  <c r="AJ87" i="1"/>
  <c r="AJ91" i="1"/>
  <c r="AJ97" i="1"/>
  <c r="AJ98" i="1"/>
  <c r="AJ109" i="1"/>
  <c r="AJ110" i="1"/>
  <c r="AI117" i="1"/>
  <c r="AI116" i="1"/>
  <c r="AI99" i="1"/>
  <c r="AI80" i="1"/>
  <c r="AI79" i="1"/>
  <c r="AI78" i="1"/>
  <c r="AI73" i="1"/>
  <c r="AI65" i="1"/>
  <c r="AI63" i="1"/>
  <c r="AI62" i="1"/>
  <c r="AI61" i="1"/>
  <c r="AI60" i="1"/>
  <c r="AI58" i="1"/>
  <c r="AI57" i="1"/>
  <c r="AI56" i="1"/>
  <c r="AI55" i="1"/>
  <c r="AI51" i="1"/>
  <c r="AI50" i="1"/>
  <c r="AI49" i="1"/>
  <c r="AI23" i="1"/>
  <c r="AI19" i="1"/>
  <c r="AI18" i="1"/>
  <c r="AI14" i="1"/>
  <c r="AI13" i="1"/>
  <c r="AI12" i="1"/>
  <c r="AL8" i="1" l="1" a="1"/>
  <c r="AL8" i="1" s="1"/>
  <c r="AK118" i="1"/>
  <c r="AK9" i="1"/>
  <c r="AK10" i="1"/>
  <c r="AK11" i="1"/>
  <c r="AK16" i="1"/>
  <c r="AK17" i="1"/>
  <c r="AK25" i="1"/>
  <c r="AK26" i="1"/>
  <c r="AK46" i="1"/>
  <c r="AK47" i="1"/>
  <c r="AK48" i="1"/>
  <c r="AK54" i="1"/>
  <c r="AK59" i="1"/>
  <c r="AK64" i="1"/>
  <c r="AK70" i="1"/>
  <c r="AK72" i="1"/>
  <c r="AK77" i="1"/>
  <c r="AK81" i="1"/>
  <c r="AK86" i="1"/>
  <c r="AK87" i="1"/>
  <c r="AK91" i="1"/>
  <c r="AK97" i="1"/>
  <c r="AK98" i="1"/>
  <c r="AK109" i="1"/>
  <c r="AK110" i="1"/>
  <c r="AJ117" i="1"/>
  <c r="AJ116" i="1"/>
  <c r="AJ99" i="1"/>
  <c r="AJ80" i="1"/>
  <c r="AJ79" i="1"/>
  <c r="AJ78" i="1"/>
  <c r="AJ73" i="1"/>
  <c r="AJ65" i="1"/>
  <c r="AJ63" i="1"/>
  <c r="AJ62" i="1"/>
  <c r="AJ61" i="1"/>
  <c r="AJ60" i="1"/>
  <c r="AJ58" i="1"/>
  <c r="AJ57" i="1"/>
  <c r="AJ56" i="1"/>
  <c r="AJ55" i="1"/>
  <c r="AJ51" i="1"/>
  <c r="AJ50" i="1"/>
  <c r="AJ49" i="1"/>
  <c r="AJ23" i="1"/>
  <c r="AJ19" i="1"/>
  <c r="AJ18" i="1"/>
  <c r="AJ14" i="1"/>
  <c r="AJ13" i="1"/>
  <c r="AJ12" i="1"/>
  <c r="U15" i="2"/>
  <c r="T9" i="2"/>
  <c r="Y26" i="2"/>
  <c r="Y15" i="2" s="1"/>
  <c r="X15" i="2"/>
  <c r="W15" i="2" s="1"/>
  <c r="AI20" i="2"/>
  <c r="AI31" i="2"/>
  <c r="AI44" i="2"/>
  <c r="AI49" i="2"/>
  <c r="AI53" i="2"/>
  <c r="AI54" i="2"/>
  <c r="AI59" i="2"/>
  <c r="AI62" i="2"/>
  <c r="AI63" i="2"/>
  <c r="AI66" i="2"/>
  <c r="AI67" i="2"/>
  <c r="AI77" i="2"/>
  <c r="AI88" i="2"/>
  <c r="AI91" i="2"/>
  <c r="AI103" i="2"/>
  <c r="AI105" i="2"/>
  <c r="AI106" i="2"/>
  <c r="AI109" i="2"/>
  <c r="AI110" i="2"/>
  <c r="AI114" i="2"/>
  <c r="AI121" i="2"/>
  <c r="AI133" i="2"/>
  <c r="AI154" i="2"/>
  <c r="AI159" i="2"/>
  <c r="AI162" i="2"/>
  <c r="AI163" i="2"/>
  <c r="AI167" i="2"/>
  <c r="AI111" i="2"/>
  <c r="AI104" i="2"/>
  <c r="AI78" i="2"/>
  <c r="AI79" i="2"/>
  <c r="AI37" i="2"/>
  <c r="AI41" i="2"/>
  <c r="AI42" i="2"/>
  <c r="AI33" i="2"/>
  <c r="AI21" i="2"/>
  <c r="AI40" i="2"/>
  <c r="AI29" i="2"/>
  <c r="AI34" i="2"/>
  <c r="AI80" i="2"/>
  <c r="AI84" i="2"/>
  <c r="AI112" i="2"/>
  <c r="AI83" i="2"/>
  <c r="AI75" i="2"/>
  <c r="AI39" i="2"/>
  <c r="AI22" i="2"/>
  <c r="AI23" i="2"/>
  <c r="AI25" i="2"/>
  <c r="AI73" i="2"/>
  <c r="AI27" i="2"/>
  <c r="AM8" i="1" l="1" a="1"/>
  <c r="AM8" i="1" s="1"/>
  <c r="AL118" i="1"/>
  <c r="AJ20" i="2"/>
  <c r="AJ31" i="2"/>
  <c r="AJ44" i="2"/>
  <c r="AJ49" i="2"/>
  <c r="AJ53" i="2"/>
  <c r="AJ54" i="2"/>
  <c r="AJ59" i="2"/>
  <c r="AJ62" i="2"/>
  <c r="AJ63" i="2"/>
  <c r="AJ66" i="2"/>
  <c r="AJ67" i="2"/>
  <c r="AJ77" i="2"/>
  <c r="AJ88" i="2"/>
  <c r="AJ91" i="2"/>
  <c r="AJ103" i="2"/>
  <c r="AJ105" i="2"/>
  <c r="AJ106" i="2"/>
  <c r="AJ109" i="2"/>
  <c r="AJ110" i="2"/>
  <c r="AJ114" i="2"/>
  <c r="AJ121" i="2"/>
  <c r="AJ133" i="2"/>
  <c r="AJ154" i="2"/>
  <c r="AJ159" i="2"/>
  <c r="AJ162" i="2"/>
  <c r="AJ163" i="2"/>
  <c r="AJ167" i="2"/>
  <c r="AJ111" i="2"/>
  <c r="AJ104" i="2"/>
  <c r="AJ78" i="2"/>
  <c r="AJ79" i="2"/>
  <c r="AJ37" i="2"/>
  <c r="AJ41" i="2"/>
  <c r="AJ42" i="2"/>
  <c r="AJ33" i="2"/>
  <c r="AJ21" i="2"/>
  <c r="AJ40" i="2"/>
  <c r="AJ29" i="2"/>
  <c r="AJ34" i="2"/>
  <c r="AJ80" i="2"/>
  <c r="AJ84" i="2"/>
  <c r="AJ112" i="2"/>
  <c r="AJ83" i="2"/>
  <c r="AJ75" i="2"/>
  <c r="AJ39" i="2"/>
  <c r="AJ22" i="2"/>
  <c r="AJ23" i="2"/>
  <c r="AJ25" i="2"/>
  <c r="AJ73" i="2"/>
  <c r="AJ27" i="2"/>
  <c r="AJ26" i="2"/>
  <c r="AJ24" i="2"/>
  <c r="AI24" i="2"/>
  <c r="AJ15" i="2"/>
  <c r="AI15" i="2"/>
  <c r="AI26" i="2"/>
  <c r="AI172" i="2"/>
  <c r="AI171" i="2"/>
  <c r="AI170" i="2"/>
  <c r="AI169" i="2"/>
  <c r="AI168" i="2"/>
  <c r="AI166" i="2"/>
  <c r="AI165" i="2"/>
  <c r="AI164" i="2"/>
  <c r="AI161" i="2"/>
  <c r="AI160" i="2"/>
  <c r="AI158" i="2"/>
  <c r="AI157" i="2"/>
  <c r="AI156" i="2"/>
  <c r="AI155" i="2"/>
  <c r="AI153" i="2"/>
  <c r="AI152" i="2"/>
  <c r="AI151" i="2"/>
  <c r="AI150" i="2"/>
  <c r="AI149" i="2"/>
  <c r="AI148" i="2"/>
  <c r="AI147" i="2"/>
  <c r="AI146" i="2"/>
  <c r="AI145" i="2"/>
  <c r="AI144" i="2"/>
  <c r="AI143" i="2"/>
  <c r="AI142" i="2"/>
  <c r="AI141" i="2"/>
  <c r="AI140" i="2"/>
  <c r="AI139" i="2"/>
  <c r="AI138" i="2"/>
  <c r="AI137" i="2"/>
  <c r="AI136" i="2"/>
  <c r="AI135" i="2"/>
  <c r="AI134" i="2"/>
  <c r="AI132" i="2"/>
  <c r="AI131" i="2"/>
  <c r="AI130" i="2"/>
  <c r="AI129" i="2"/>
  <c r="AI128" i="2"/>
  <c r="AI127" i="2"/>
  <c r="AI126" i="2"/>
  <c r="AI125" i="2"/>
  <c r="AI124" i="2"/>
  <c r="AI123" i="2"/>
  <c r="AI122" i="2"/>
  <c r="AI120" i="2"/>
  <c r="AI119" i="2"/>
  <c r="AI118" i="2"/>
  <c r="AI117" i="2"/>
  <c r="AI116" i="2"/>
  <c r="AI115" i="2"/>
  <c r="AI113" i="2"/>
  <c r="AI108" i="2"/>
  <c r="AI107" i="2"/>
  <c r="AI102" i="2"/>
  <c r="AI101" i="2"/>
  <c r="AI100" i="2"/>
  <c r="AI99" i="2"/>
  <c r="AI98" i="2"/>
  <c r="AI97" i="2"/>
  <c r="AI96" i="2"/>
  <c r="AI95" i="2"/>
  <c r="AI94" i="2"/>
  <c r="AI93" i="2"/>
  <c r="AI92" i="2"/>
  <c r="AI90" i="2"/>
  <c r="AI89" i="2"/>
  <c r="AI87" i="2"/>
  <c r="AI86" i="2"/>
  <c r="AI85" i="2"/>
  <c r="AI82" i="2"/>
  <c r="AI81" i="2"/>
  <c r="AI76" i="2"/>
  <c r="AI74" i="2"/>
  <c r="AI72" i="2"/>
  <c r="AI71" i="2"/>
  <c r="AI70" i="2"/>
  <c r="AI69" i="2"/>
  <c r="AI68" i="2"/>
  <c r="AI65" i="2"/>
  <c r="AI64" i="2"/>
  <c r="AI61" i="2"/>
  <c r="AI60" i="2"/>
  <c r="AI58" i="2"/>
  <c r="AI57" i="2"/>
  <c r="AI56" i="2"/>
  <c r="AI55" i="2"/>
  <c r="AI52" i="2"/>
  <c r="AI51" i="2"/>
  <c r="AI50" i="2"/>
  <c r="AI48" i="2"/>
  <c r="AI47" i="2"/>
  <c r="AI46" i="2"/>
  <c r="AI45" i="2"/>
  <c r="AI43" i="2"/>
  <c r="AI38" i="2"/>
  <c r="AI36" i="2"/>
  <c r="AI35" i="2"/>
  <c r="AI32" i="2"/>
  <c r="AI30" i="2"/>
  <c r="AI28" i="2"/>
  <c r="AI19" i="2"/>
  <c r="AI18" i="2"/>
  <c r="AI17" i="2"/>
  <c r="AI16" i="2"/>
  <c r="AI14" i="2"/>
  <c r="AI13" i="2"/>
  <c r="AI12" i="2"/>
  <c r="AI11" i="2"/>
  <c r="AI10" i="2"/>
  <c r="S15" i="2"/>
  <c r="U9" i="2"/>
  <c r="AL9" i="1"/>
  <c r="AL10" i="1"/>
  <c r="AL11" i="1"/>
  <c r="AL16" i="1"/>
  <c r="AL17" i="1"/>
  <c r="AL25" i="1"/>
  <c r="AL26" i="1"/>
  <c r="AL46" i="1"/>
  <c r="AL47" i="1"/>
  <c r="AL48" i="1"/>
  <c r="AL54" i="1"/>
  <c r="AL59" i="1"/>
  <c r="AL64" i="1"/>
  <c r="AL70" i="1"/>
  <c r="AL72" i="1"/>
  <c r="AL77" i="1"/>
  <c r="AL81" i="1"/>
  <c r="AL86" i="1"/>
  <c r="AL87" i="1"/>
  <c r="AL91" i="1"/>
  <c r="AL97" i="1"/>
  <c r="AL98" i="1"/>
  <c r="AL109" i="1"/>
  <c r="AL110" i="1"/>
  <c r="AK117" i="1"/>
  <c r="AK116" i="1"/>
  <c r="AK99" i="1"/>
  <c r="AK80" i="1"/>
  <c r="AK79" i="1"/>
  <c r="AK78" i="1"/>
  <c r="AK73" i="1"/>
  <c r="AK65" i="1"/>
  <c r="AK63" i="1"/>
  <c r="AK62" i="1"/>
  <c r="AK61" i="1"/>
  <c r="AK60" i="1"/>
  <c r="AK58" i="1"/>
  <c r="AK57" i="1"/>
  <c r="AK56" i="1"/>
  <c r="AK55" i="1"/>
  <c r="AK51" i="1"/>
  <c r="AK50" i="1"/>
  <c r="AK49" i="1"/>
  <c r="AK23" i="1"/>
  <c r="AK19" i="1"/>
  <c r="AK18" i="1"/>
  <c r="AK14" i="1"/>
  <c r="AK13" i="1"/>
  <c r="AK12" i="1"/>
  <c r="AN8" i="1" l="1" a="1"/>
  <c r="AN8" i="1" s="1"/>
  <c r="AM118" i="1"/>
  <c r="AM9" i="1"/>
  <c r="AM10" i="1"/>
  <c r="AM11" i="1"/>
  <c r="AM16" i="1"/>
  <c r="AM17" i="1"/>
  <c r="AM25" i="1"/>
  <c r="AM26" i="1"/>
  <c r="AM46" i="1"/>
  <c r="AM47" i="1"/>
  <c r="AM48" i="1"/>
  <c r="AM54" i="1"/>
  <c r="AM59" i="1"/>
  <c r="AM64" i="1"/>
  <c r="AM70" i="1"/>
  <c r="AM72" i="1"/>
  <c r="AM77" i="1"/>
  <c r="AM81" i="1"/>
  <c r="AM86" i="1"/>
  <c r="AM87" i="1"/>
  <c r="AM91" i="1"/>
  <c r="AM97" i="1"/>
  <c r="AM98" i="1"/>
  <c r="AM109" i="1"/>
  <c r="AM110" i="1"/>
  <c r="AL117" i="1"/>
  <c r="AL116" i="1"/>
  <c r="AL99" i="1"/>
  <c r="AL80" i="1"/>
  <c r="AL79" i="1"/>
  <c r="AL78" i="1"/>
  <c r="AL73" i="1"/>
  <c r="AL65" i="1"/>
  <c r="AL63" i="1"/>
  <c r="AL62" i="1"/>
  <c r="AL61" i="1"/>
  <c r="AL60" i="1"/>
  <c r="AL58" i="1"/>
  <c r="AL57" i="1"/>
  <c r="AL56" i="1"/>
  <c r="AL55" i="1"/>
  <c r="AL51" i="1"/>
  <c r="AL50" i="1"/>
  <c r="AL49" i="1"/>
  <c r="AL23" i="1"/>
  <c r="AL19" i="1"/>
  <c r="AL18" i="1"/>
  <c r="AL14" i="1"/>
  <c r="AL13" i="1"/>
  <c r="AL12" i="1"/>
  <c r="AJ9" i="2"/>
  <c r="AI9" i="2"/>
  <c r="S9" i="2"/>
  <c r="AK20" i="2"/>
  <c r="AK31" i="2"/>
  <c r="AK44" i="2"/>
  <c r="AK49" i="2"/>
  <c r="AK53" i="2"/>
  <c r="AK54" i="2"/>
  <c r="AK59" i="2"/>
  <c r="AK62" i="2"/>
  <c r="AK63" i="2"/>
  <c r="AK66" i="2"/>
  <c r="AK67" i="2"/>
  <c r="AK77" i="2"/>
  <c r="AK88" i="2"/>
  <c r="AK91" i="2"/>
  <c r="AK103" i="2"/>
  <c r="AK105" i="2"/>
  <c r="AK106" i="2"/>
  <c r="AK109" i="2"/>
  <c r="AK110" i="2"/>
  <c r="AK114" i="2"/>
  <c r="AK121" i="2"/>
  <c r="AK133" i="2"/>
  <c r="AK154" i="2"/>
  <c r="AK159" i="2"/>
  <c r="AK162" i="2"/>
  <c r="AK163" i="2"/>
  <c r="AK167" i="2"/>
  <c r="AK111" i="2"/>
  <c r="AK104" i="2"/>
  <c r="AK78" i="2"/>
  <c r="AK79" i="2"/>
  <c r="AK37" i="2"/>
  <c r="AK41" i="2"/>
  <c r="AK42" i="2"/>
  <c r="AK33" i="2"/>
  <c r="AK21" i="2"/>
  <c r="AK40" i="2"/>
  <c r="AK29" i="2"/>
  <c r="AK34" i="2"/>
  <c r="AK80" i="2"/>
  <c r="AK84" i="2"/>
  <c r="AK112" i="2"/>
  <c r="AK83" i="2"/>
  <c r="AK75" i="2"/>
  <c r="AK39" i="2"/>
  <c r="AK22" i="2"/>
  <c r="AK23" i="2"/>
  <c r="AK25" i="2"/>
  <c r="AK73" i="2"/>
  <c r="AK27" i="2"/>
  <c r="AK26" i="2"/>
  <c r="AK24" i="2"/>
  <c r="AK15" i="2"/>
  <c r="AJ172" i="2"/>
  <c r="AJ171" i="2"/>
  <c r="AJ170" i="2"/>
  <c r="AJ169" i="2"/>
  <c r="AJ168" i="2"/>
  <c r="AJ166" i="2"/>
  <c r="AJ165" i="2"/>
  <c r="AJ164" i="2"/>
  <c r="AJ161" i="2"/>
  <c r="AJ160" i="2"/>
  <c r="AJ158" i="2"/>
  <c r="AJ157" i="2"/>
  <c r="AJ156" i="2"/>
  <c r="AJ155" i="2"/>
  <c r="AJ153" i="2"/>
  <c r="AJ152" i="2"/>
  <c r="AJ151" i="2"/>
  <c r="AJ150" i="2"/>
  <c r="AJ149" i="2"/>
  <c r="AJ148" i="2"/>
  <c r="AJ147" i="2"/>
  <c r="AJ146" i="2"/>
  <c r="AJ145" i="2"/>
  <c r="AJ144" i="2"/>
  <c r="AJ143" i="2"/>
  <c r="AJ142" i="2"/>
  <c r="AJ141" i="2"/>
  <c r="AJ140" i="2"/>
  <c r="AJ139" i="2"/>
  <c r="AJ138" i="2"/>
  <c r="AJ137" i="2"/>
  <c r="AJ136" i="2"/>
  <c r="AJ135" i="2"/>
  <c r="AJ134" i="2"/>
  <c r="AJ132" i="2"/>
  <c r="AJ131" i="2"/>
  <c r="AJ130" i="2"/>
  <c r="AJ129" i="2"/>
  <c r="AJ128" i="2"/>
  <c r="AJ127" i="2"/>
  <c r="AJ126" i="2"/>
  <c r="AJ125" i="2"/>
  <c r="AJ124" i="2"/>
  <c r="AJ123" i="2"/>
  <c r="AJ122" i="2"/>
  <c r="AJ120" i="2"/>
  <c r="AJ119" i="2"/>
  <c r="AJ118" i="2"/>
  <c r="AJ117" i="2"/>
  <c r="AJ116" i="2"/>
  <c r="AJ115" i="2"/>
  <c r="AJ113" i="2"/>
  <c r="AJ108" i="2"/>
  <c r="AJ107" i="2"/>
  <c r="AJ102" i="2"/>
  <c r="AJ101" i="2"/>
  <c r="AJ100" i="2"/>
  <c r="AJ99" i="2"/>
  <c r="AJ98" i="2"/>
  <c r="AJ97" i="2"/>
  <c r="AJ96" i="2"/>
  <c r="AJ95" i="2"/>
  <c r="AJ94" i="2"/>
  <c r="AJ93" i="2"/>
  <c r="AJ92" i="2"/>
  <c r="AJ90" i="2"/>
  <c r="AJ89" i="2"/>
  <c r="AJ87" i="2"/>
  <c r="AJ86" i="2"/>
  <c r="AJ85" i="2"/>
  <c r="AJ82" i="2"/>
  <c r="AJ81" i="2"/>
  <c r="AJ76" i="2"/>
  <c r="AJ74" i="2"/>
  <c r="AJ72" i="2"/>
  <c r="AJ71" i="2"/>
  <c r="AJ70" i="2"/>
  <c r="AJ69" i="2"/>
  <c r="AJ68" i="2"/>
  <c r="AJ65" i="2"/>
  <c r="AJ64" i="2"/>
  <c r="AJ61" i="2"/>
  <c r="AJ60" i="2"/>
  <c r="AJ58" i="2"/>
  <c r="AJ57" i="2"/>
  <c r="AJ56" i="2"/>
  <c r="AJ55" i="2"/>
  <c r="AJ52" i="2"/>
  <c r="AJ51" i="2"/>
  <c r="AJ50" i="2"/>
  <c r="AJ48" i="2"/>
  <c r="AJ47" i="2"/>
  <c r="AJ46" i="2"/>
  <c r="AJ45" i="2"/>
  <c r="AJ43" i="2"/>
  <c r="AJ38" i="2"/>
  <c r="AJ36" i="2"/>
  <c r="AJ35" i="2"/>
  <c r="AJ32" i="2"/>
  <c r="AJ30" i="2"/>
  <c r="AJ28" i="2"/>
  <c r="AJ19" i="2"/>
  <c r="AJ18" i="2"/>
  <c r="AJ17" i="2"/>
  <c r="AJ16" i="2"/>
  <c r="AJ14" i="2"/>
  <c r="AJ13" i="2"/>
  <c r="AJ12" i="2"/>
  <c r="AJ11" i="2"/>
  <c r="AJ10" i="2"/>
  <c r="AO8" i="1" l="1" a="1"/>
  <c r="AO8" i="1" s="1"/>
  <c r="AN118" i="1"/>
  <c r="AL20" i="2"/>
  <c r="AL31" i="2"/>
  <c r="AL44" i="2"/>
  <c r="AL49" i="2"/>
  <c r="AL53" i="2"/>
  <c r="AL54" i="2"/>
  <c r="AL59" i="2"/>
  <c r="AL62" i="2"/>
  <c r="AL63" i="2"/>
  <c r="AL66" i="2"/>
  <c r="AL67" i="2"/>
  <c r="AL77" i="2"/>
  <c r="AL88" i="2"/>
  <c r="AL91" i="2"/>
  <c r="AL103" i="2"/>
  <c r="AL105" i="2"/>
  <c r="AL106" i="2"/>
  <c r="AL109" i="2"/>
  <c r="AL110" i="2"/>
  <c r="AL114" i="2"/>
  <c r="AL121" i="2"/>
  <c r="AL133" i="2"/>
  <c r="AL154" i="2"/>
  <c r="AL159" i="2"/>
  <c r="AL162" i="2"/>
  <c r="AL163" i="2"/>
  <c r="AL167" i="2"/>
  <c r="AL111" i="2"/>
  <c r="AL104" i="2"/>
  <c r="AL78" i="2"/>
  <c r="AL79" i="2"/>
  <c r="AL37" i="2"/>
  <c r="AL41" i="2"/>
  <c r="AL42" i="2"/>
  <c r="AL33" i="2"/>
  <c r="AL21" i="2"/>
  <c r="AL40" i="2"/>
  <c r="AL29" i="2"/>
  <c r="AL34" i="2"/>
  <c r="AL80" i="2"/>
  <c r="AL84" i="2"/>
  <c r="AL112" i="2"/>
  <c r="AL83" i="2"/>
  <c r="AL75" i="2"/>
  <c r="AL39" i="2"/>
  <c r="AL22" i="2"/>
  <c r="AL23" i="2"/>
  <c r="AL25" i="2"/>
  <c r="AL73" i="2"/>
  <c r="AL27" i="2"/>
  <c r="AL26" i="2"/>
  <c r="AL24" i="2"/>
  <c r="AL15" i="2"/>
  <c r="AL9" i="2"/>
  <c r="AK9" i="2"/>
  <c r="AK172" i="2"/>
  <c r="AK171" i="2"/>
  <c r="AK170" i="2"/>
  <c r="AK169" i="2"/>
  <c r="AK168" i="2"/>
  <c r="AK166" i="2"/>
  <c r="AK165" i="2"/>
  <c r="AK164" i="2"/>
  <c r="AK161" i="2"/>
  <c r="AK160" i="2"/>
  <c r="AK158" i="2"/>
  <c r="AK157" i="2"/>
  <c r="AK156" i="2"/>
  <c r="AK155" i="2"/>
  <c r="AK153" i="2"/>
  <c r="AK152" i="2"/>
  <c r="AK151" i="2"/>
  <c r="AK150" i="2"/>
  <c r="AK149" i="2"/>
  <c r="AK148" i="2"/>
  <c r="AK147" i="2"/>
  <c r="AK146" i="2"/>
  <c r="AK145" i="2"/>
  <c r="AK144" i="2"/>
  <c r="AK143" i="2"/>
  <c r="AK142" i="2"/>
  <c r="AK141" i="2"/>
  <c r="AK140" i="2"/>
  <c r="AK139" i="2"/>
  <c r="AK138" i="2"/>
  <c r="AK137" i="2"/>
  <c r="AK136" i="2"/>
  <c r="AK135" i="2"/>
  <c r="AK134" i="2"/>
  <c r="AK132" i="2"/>
  <c r="AK131" i="2"/>
  <c r="AK130" i="2"/>
  <c r="AK129" i="2"/>
  <c r="AK128" i="2"/>
  <c r="AK127" i="2"/>
  <c r="AK126" i="2"/>
  <c r="AK125" i="2"/>
  <c r="AK124" i="2"/>
  <c r="AK123" i="2"/>
  <c r="AK122" i="2"/>
  <c r="AK120" i="2"/>
  <c r="AK119" i="2"/>
  <c r="AK118" i="2"/>
  <c r="AK117" i="2"/>
  <c r="AK116" i="2"/>
  <c r="AK115" i="2"/>
  <c r="AK113" i="2"/>
  <c r="AK108" i="2"/>
  <c r="AK107" i="2"/>
  <c r="AK102" i="2"/>
  <c r="AK101" i="2"/>
  <c r="AK100" i="2"/>
  <c r="AK99" i="2"/>
  <c r="AK98" i="2"/>
  <c r="AK97" i="2"/>
  <c r="AK96" i="2"/>
  <c r="AK95" i="2"/>
  <c r="AK94" i="2"/>
  <c r="AK93" i="2"/>
  <c r="AK92" i="2"/>
  <c r="AK90" i="2"/>
  <c r="AK89" i="2"/>
  <c r="AK87" i="2"/>
  <c r="AK86" i="2"/>
  <c r="AK85" i="2"/>
  <c r="AK82" i="2"/>
  <c r="AK81" i="2"/>
  <c r="AK76" i="2"/>
  <c r="AK74" i="2"/>
  <c r="AK72" i="2"/>
  <c r="AK71" i="2"/>
  <c r="AK70" i="2"/>
  <c r="AK69" i="2"/>
  <c r="AK68" i="2"/>
  <c r="AK65" i="2"/>
  <c r="AK64" i="2"/>
  <c r="AK61" i="2"/>
  <c r="AK60" i="2"/>
  <c r="AK58" i="2"/>
  <c r="AK57" i="2"/>
  <c r="AK56" i="2"/>
  <c r="AK55" i="2"/>
  <c r="AK52" i="2"/>
  <c r="AK51" i="2"/>
  <c r="AK50" i="2"/>
  <c r="AK48" i="2"/>
  <c r="AK47" i="2"/>
  <c r="AK46" i="2"/>
  <c r="AK45" i="2"/>
  <c r="AK43" i="2"/>
  <c r="AK38" i="2"/>
  <c r="AK36" i="2"/>
  <c r="AK35" i="2"/>
  <c r="AK32" i="2"/>
  <c r="AK30" i="2"/>
  <c r="AK28" i="2"/>
  <c r="AK19" i="2"/>
  <c r="AK18" i="2"/>
  <c r="AK17" i="2"/>
  <c r="AK16" i="2"/>
  <c r="AK14" i="2"/>
  <c r="AK13" i="2"/>
  <c r="AK12" i="2"/>
  <c r="AK11" i="2"/>
  <c r="AK10" i="2"/>
  <c r="AN9" i="1"/>
  <c r="AN10" i="1"/>
  <c r="AN11" i="1"/>
  <c r="AN16" i="1"/>
  <c r="AN17" i="1"/>
  <c r="AN25" i="1"/>
  <c r="AN26" i="1"/>
  <c r="AN46" i="1"/>
  <c r="AN47" i="1"/>
  <c r="AN48" i="1"/>
  <c r="AN54" i="1"/>
  <c r="AN59" i="1"/>
  <c r="AN64" i="1"/>
  <c r="AN70" i="1"/>
  <c r="AN72" i="1"/>
  <c r="AN77" i="1"/>
  <c r="AN81" i="1"/>
  <c r="AN86" i="1"/>
  <c r="AN87" i="1"/>
  <c r="AN91" i="1"/>
  <c r="AN97" i="1"/>
  <c r="AN98" i="1"/>
  <c r="AN109" i="1"/>
  <c r="AN110" i="1"/>
  <c r="AM117" i="1"/>
  <c r="AM116" i="1"/>
  <c r="AM99" i="1"/>
  <c r="AM80" i="1"/>
  <c r="AM79" i="1"/>
  <c r="AM78" i="1"/>
  <c r="AM73" i="1"/>
  <c r="AM65" i="1"/>
  <c r="AM63" i="1"/>
  <c r="AM62" i="1"/>
  <c r="AM61" i="1"/>
  <c r="AM60" i="1"/>
  <c r="AM58" i="1"/>
  <c r="AM57" i="1"/>
  <c r="AM56" i="1"/>
  <c r="AM55" i="1"/>
  <c r="AM51" i="1"/>
  <c r="AM50" i="1"/>
  <c r="AM49" i="1"/>
  <c r="AM23" i="1"/>
  <c r="AM19" i="1"/>
  <c r="AM18" i="1"/>
  <c r="AM14" i="1"/>
  <c r="AM13" i="1"/>
  <c r="AM12" i="1"/>
  <c r="AP8" i="1" l="1" a="1"/>
  <c r="AP8" i="1" s="1"/>
  <c r="AO118" i="1"/>
  <c r="AO9" i="1"/>
  <c r="AO10" i="1"/>
  <c r="AO11" i="1"/>
  <c r="AO16" i="1"/>
  <c r="AO17" i="1"/>
  <c r="AO25" i="1"/>
  <c r="AO26" i="1"/>
  <c r="AO46" i="1"/>
  <c r="AO47" i="1"/>
  <c r="AO48" i="1"/>
  <c r="AO54" i="1"/>
  <c r="AO59" i="1"/>
  <c r="AO64" i="1"/>
  <c r="AO70" i="1"/>
  <c r="AO72" i="1"/>
  <c r="AO77" i="1"/>
  <c r="AO81" i="1"/>
  <c r="AO86" i="1"/>
  <c r="AO87" i="1"/>
  <c r="AO91" i="1"/>
  <c r="AO97" i="1"/>
  <c r="AO98" i="1"/>
  <c r="AO109" i="1"/>
  <c r="AO110" i="1"/>
  <c r="AN117" i="1"/>
  <c r="AN116" i="1"/>
  <c r="AN99" i="1"/>
  <c r="AN80" i="1"/>
  <c r="AN79" i="1"/>
  <c r="AN78" i="1"/>
  <c r="AN73" i="1"/>
  <c r="AN65" i="1"/>
  <c r="AN63" i="1"/>
  <c r="AN62" i="1"/>
  <c r="AN61" i="1"/>
  <c r="AN60" i="1"/>
  <c r="AN58" i="1"/>
  <c r="AN57" i="1"/>
  <c r="AN56" i="1"/>
  <c r="AN55" i="1"/>
  <c r="AN51" i="1"/>
  <c r="AN50" i="1"/>
  <c r="AN49" i="1"/>
  <c r="AN23" i="1"/>
  <c r="AN19" i="1"/>
  <c r="AN18" i="1"/>
  <c r="AN14" i="1"/>
  <c r="AN13" i="1"/>
  <c r="AN12" i="1"/>
  <c r="AM20" i="2"/>
  <c r="AM31" i="2"/>
  <c r="AM44" i="2"/>
  <c r="AM49" i="2"/>
  <c r="AM53" i="2"/>
  <c r="AM54" i="2"/>
  <c r="AM59" i="2"/>
  <c r="AM62" i="2"/>
  <c r="AM63" i="2"/>
  <c r="AM66" i="2"/>
  <c r="AM67" i="2"/>
  <c r="AM77" i="2"/>
  <c r="AM88" i="2"/>
  <c r="AM91" i="2"/>
  <c r="AM103" i="2"/>
  <c r="AM105" i="2"/>
  <c r="AM106" i="2"/>
  <c r="AM109" i="2"/>
  <c r="AM110" i="2"/>
  <c r="AM114" i="2"/>
  <c r="AM121" i="2"/>
  <c r="AM133" i="2"/>
  <c r="AM154" i="2"/>
  <c r="AM159" i="2"/>
  <c r="AM162" i="2"/>
  <c r="AM163" i="2"/>
  <c r="AM167" i="2"/>
  <c r="AM111" i="2"/>
  <c r="AM104" i="2"/>
  <c r="AM78" i="2"/>
  <c r="AM79" i="2"/>
  <c r="AM37" i="2"/>
  <c r="AM41" i="2"/>
  <c r="AM42" i="2"/>
  <c r="AM33" i="2"/>
  <c r="AM21" i="2"/>
  <c r="AM40" i="2"/>
  <c r="AM29" i="2"/>
  <c r="AM34" i="2"/>
  <c r="AM80" i="2"/>
  <c r="AM84" i="2"/>
  <c r="AM112" i="2"/>
  <c r="AM83" i="2"/>
  <c r="AM75" i="2"/>
  <c r="AM39" i="2"/>
  <c r="AM22" i="2"/>
  <c r="AM23" i="2"/>
  <c r="AM25" i="2"/>
  <c r="AM73" i="2"/>
  <c r="AM27" i="2"/>
  <c r="AM26" i="2"/>
  <c r="AM24" i="2"/>
  <c r="AM15" i="2"/>
  <c r="AM9" i="2"/>
  <c r="AL172" i="2"/>
  <c r="AL171" i="2"/>
  <c r="AL170" i="2"/>
  <c r="AL169" i="2"/>
  <c r="AL168" i="2"/>
  <c r="AL166" i="2"/>
  <c r="AL165" i="2"/>
  <c r="AL164" i="2"/>
  <c r="AL161" i="2"/>
  <c r="AL160" i="2"/>
  <c r="AL158" i="2"/>
  <c r="AL157" i="2"/>
  <c r="AL156" i="2"/>
  <c r="AL155" i="2"/>
  <c r="AL153" i="2"/>
  <c r="AL152" i="2"/>
  <c r="AL151" i="2"/>
  <c r="AL150" i="2"/>
  <c r="AL149" i="2"/>
  <c r="AL148" i="2"/>
  <c r="AL147" i="2"/>
  <c r="AL146" i="2"/>
  <c r="AL145" i="2"/>
  <c r="AL144" i="2"/>
  <c r="AL143" i="2"/>
  <c r="AL142" i="2"/>
  <c r="AL141" i="2"/>
  <c r="AL140" i="2"/>
  <c r="AL139" i="2"/>
  <c r="AL138" i="2"/>
  <c r="AL137" i="2"/>
  <c r="AL136" i="2"/>
  <c r="AL135" i="2"/>
  <c r="AL134" i="2"/>
  <c r="AL132" i="2"/>
  <c r="AL131" i="2"/>
  <c r="AL130" i="2"/>
  <c r="AL129" i="2"/>
  <c r="AL128" i="2"/>
  <c r="AL127" i="2"/>
  <c r="AL126" i="2"/>
  <c r="AL125" i="2"/>
  <c r="AL124" i="2"/>
  <c r="AL123" i="2"/>
  <c r="AL122" i="2"/>
  <c r="AL120" i="2"/>
  <c r="AL119" i="2"/>
  <c r="AL118" i="2"/>
  <c r="AL117" i="2"/>
  <c r="AL116" i="2"/>
  <c r="AL115" i="2"/>
  <c r="AL113" i="2"/>
  <c r="AL108" i="2"/>
  <c r="AL107" i="2"/>
  <c r="AL102" i="2"/>
  <c r="AL101" i="2"/>
  <c r="AL100" i="2"/>
  <c r="AL99" i="2"/>
  <c r="AL98" i="2"/>
  <c r="AL97" i="2"/>
  <c r="AL96" i="2"/>
  <c r="AL95" i="2"/>
  <c r="AL94" i="2"/>
  <c r="AL93" i="2"/>
  <c r="AL92" i="2"/>
  <c r="AL90" i="2"/>
  <c r="AL89" i="2"/>
  <c r="AL87" i="2"/>
  <c r="AL86" i="2"/>
  <c r="AL85" i="2"/>
  <c r="AL82" i="2"/>
  <c r="AL81" i="2"/>
  <c r="AL76" i="2"/>
  <c r="AL74" i="2"/>
  <c r="AL72" i="2"/>
  <c r="AL71" i="2"/>
  <c r="AL70" i="2"/>
  <c r="AL69" i="2"/>
  <c r="AL68" i="2"/>
  <c r="AL65" i="2"/>
  <c r="AL64" i="2"/>
  <c r="AL61" i="2"/>
  <c r="AL60" i="2"/>
  <c r="AL58" i="2"/>
  <c r="AL57" i="2"/>
  <c r="AL56" i="2"/>
  <c r="AL55" i="2"/>
  <c r="AL52" i="2"/>
  <c r="AL51" i="2"/>
  <c r="AL50" i="2"/>
  <c r="AL48" i="2"/>
  <c r="AL47" i="2"/>
  <c r="AL46" i="2"/>
  <c r="AL45" i="2"/>
  <c r="AL43" i="2"/>
  <c r="AL38" i="2"/>
  <c r="AL36" i="2"/>
  <c r="AL35" i="2"/>
  <c r="AL32" i="2"/>
  <c r="AL30" i="2"/>
  <c r="AL28" i="2"/>
  <c r="AL19" i="2"/>
  <c r="AL18" i="2"/>
  <c r="AL17" i="2"/>
  <c r="AL16" i="2"/>
  <c r="AL14" i="2"/>
  <c r="AL13" i="2"/>
  <c r="AL12" i="2"/>
  <c r="AL11" i="2"/>
  <c r="AL10" i="2"/>
  <c r="AQ8" i="1" l="1" a="1"/>
  <c r="AQ8" i="1" s="1"/>
  <c r="AP118" i="1"/>
  <c r="AN20" i="2"/>
  <c r="AN31" i="2"/>
  <c r="AN44" i="2"/>
  <c r="AN49" i="2"/>
  <c r="AN53" i="2"/>
  <c r="AN54" i="2"/>
  <c r="AN59" i="2"/>
  <c r="AN62" i="2"/>
  <c r="AN63" i="2"/>
  <c r="AN66" i="2"/>
  <c r="AN67" i="2"/>
  <c r="AN77" i="2"/>
  <c r="AN88" i="2"/>
  <c r="AN91" i="2"/>
  <c r="AN103" i="2"/>
  <c r="AN105" i="2"/>
  <c r="AN106" i="2"/>
  <c r="AN109" i="2"/>
  <c r="AN110" i="2"/>
  <c r="AN114" i="2"/>
  <c r="AN121" i="2"/>
  <c r="AN133" i="2"/>
  <c r="AN154" i="2"/>
  <c r="AN159" i="2"/>
  <c r="AN162" i="2"/>
  <c r="AN163" i="2"/>
  <c r="AN167" i="2"/>
  <c r="AN111" i="2"/>
  <c r="AN104" i="2"/>
  <c r="AN78" i="2"/>
  <c r="AN79" i="2"/>
  <c r="AN37" i="2"/>
  <c r="AN41" i="2"/>
  <c r="AN42" i="2"/>
  <c r="AN33" i="2"/>
  <c r="AN21" i="2"/>
  <c r="AN40" i="2"/>
  <c r="AN29" i="2"/>
  <c r="AN34" i="2"/>
  <c r="AN80" i="2"/>
  <c r="AN84" i="2"/>
  <c r="AN112" i="2"/>
  <c r="AN83" i="2"/>
  <c r="AN75" i="2"/>
  <c r="AN39" i="2"/>
  <c r="AN22" i="2"/>
  <c r="AN23" i="2"/>
  <c r="AN25" i="2"/>
  <c r="AN73" i="2"/>
  <c r="AN27" i="2"/>
  <c r="AN26" i="2"/>
  <c r="AN24" i="2"/>
  <c r="AN15" i="2"/>
  <c r="AN9" i="2"/>
  <c r="AM172" i="2"/>
  <c r="AM171" i="2"/>
  <c r="AM170" i="2"/>
  <c r="AM169" i="2"/>
  <c r="AM168" i="2"/>
  <c r="AM166" i="2"/>
  <c r="AM165" i="2"/>
  <c r="AM164" i="2"/>
  <c r="AM161" i="2"/>
  <c r="AM160" i="2"/>
  <c r="AM158" i="2"/>
  <c r="AM157" i="2"/>
  <c r="AM156" i="2"/>
  <c r="AM155" i="2"/>
  <c r="AM153" i="2"/>
  <c r="AM152" i="2"/>
  <c r="AM151" i="2"/>
  <c r="AM150" i="2"/>
  <c r="AM149" i="2"/>
  <c r="AM148" i="2"/>
  <c r="AM147" i="2"/>
  <c r="AM146" i="2"/>
  <c r="AM145" i="2"/>
  <c r="AM144" i="2"/>
  <c r="AM143" i="2"/>
  <c r="AM142" i="2"/>
  <c r="AM141" i="2"/>
  <c r="AM140" i="2"/>
  <c r="AM139" i="2"/>
  <c r="AM138" i="2"/>
  <c r="AM137" i="2"/>
  <c r="AM136" i="2"/>
  <c r="AM135" i="2"/>
  <c r="AM134" i="2"/>
  <c r="AM132" i="2"/>
  <c r="AM131" i="2"/>
  <c r="AM130" i="2"/>
  <c r="AM129" i="2"/>
  <c r="AM128" i="2"/>
  <c r="AM127" i="2"/>
  <c r="AM126" i="2"/>
  <c r="AM125" i="2"/>
  <c r="AM124" i="2"/>
  <c r="AM123" i="2"/>
  <c r="AM122" i="2"/>
  <c r="AM120" i="2"/>
  <c r="AM119" i="2"/>
  <c r="AM118" i="2"/>
  <c r="AM117" i="2"/>
  <c r="AM116" i="2"/>
  <c r="AM115" i="2"/>
  <c r="AM113" i="2"/>
  <c r="AM108" i="2"/>
  <c r="AM107" i="2"/>
  <c r="AM102" i="2"/>
  <c r="AM101" i="2"/>
  <c r="AM100" i="2"/>
  <c r="AM99" i="2"/>
  <c r="AM98" i="2"/>
  <c r="AM97" i="2"/>
  <c r="AM96" i="2"/>
  <c r="AM95" i="2"/>
  <c r="AM94" i="2"/>
  <c r="AM93" i="2"/>
  <c r="AM92" i="2"/>
  <c r="AM90" i="2"/>
  <c r="AM89" i="2"/>
  <c r="AM87" i="2"/>
  <c r="AM86" i="2"/>
  <c r="AM85" i="2"/>
  <c r="AM82" i="2"/>
  <c r="AM81" i="2"/>
  <c r="AM76" i="2"/>
  <c r="AM74" i="2"/>
  <c r="AM72" i="2"/>
  <c r="AM71" i="2"/>
  <c r="AM70" i="2"/>
  <c r="AM69" i="2"/>
  <c r="AM68" i="2"/>
  <c r="AM65" i="2"/>
  <c r="AM64" i="2"/>
  <c r="AM61" i="2"/>
  <c r="AM60" i="2"/>
  <c r="AM58" i="2"/>
  <c r="AM57" i="2"/>
  <c r="AM56" i="2"/>
  <c r="AM55" i="2"/>
  <c r="AM52" i="2"/>
  <c r="AM51" i="2"/>
  <c r="AM50" i="2"/>
  <c r="AM48" i="2"/>
  <c r="AM47" i="2"/>
  <c r="AM46" i="2"/>
  <c r="AM45" i="2"/>
  <c r="AM43" i="2"/>
  <c r="AM38" i="2"/>
  <c r="AM36" i="2"/>
  <c r="AM35" i="2"/>
  <c r="AM32" i="2"/>
  <c r="AM30" i="2"/>
  <c r="AM28" i="2"/>
  <c r="AM19" i="2"/>
  <c r="AM18" i="2"/>
  <c r="AM17" i="2"/>
  <c r="AM16" i="2"/>
  <c r="AM14" i="2"/>
  <c r="AM13" i="2"/>
  <c r="AM12" i="2"/>
  <c r="AM11" i="2"/>
  <c r="AM10" i="2"/>
  <c r="AP9" i="1"/>
  <c r="AP10" i="1"/>
  <c r="AP11" i="1"/>
  <c r="AP16" i="1"/>
  <c r="AP17" i="1"/>
  <c r="AP25" i="1"/>
  <c r="AP26" i="1"/>
  <c r="AP46" i="1"/>
  <c r="AP47" i="1"/>
  <c r="AP48" i="1"/>
  <c r="AP54" i="1"/>
  <c r="AP59" i="1"/>
  <c r="AP64" i="1"/>
  <c r="AP70" i="1"/>
  <c r="AP72" i="1"/>
  <c r="AP77" i="1"/>
  <c r="AP81" i="1"/>
  <c r="AP86" i="1"/>
  <c r="AP87" i="1"/>
  <c r="AP91" i="1"/>
  <c r="AP97" i="1"/>
  <c r="AP98" i="1"/>
  <c r="AP109" i="1"/>
  <c r="AP110" i="1"/>
  <c r="AO117" i="1"/>
  <c r="AO116" i="1"/>
  <c r="AO99" i="1"/>
  <c r="AO80" i="1"/>
  <c r="AO79" i="1"/>
  <c r="AO78" i="1"/>
  <c r="AO73" i="1"/>
  <c r="AO65" i="1"/>
  <c r="AO63" i="1"/>
  <c r="AO62" i="1"/>
  <c r="AO61" i="1"/>
  <c r="AO60" i="1"/>
  <c r="AO58" i="1"/>
  <c r="AO57" i="1"/>
  <c r="AO56" i="1"/>
  <c r="AO55" i="1"/>
  <c r="AO51" i="1"/>
  <c r="AO50" i="1"/>
  <c r="AO49" i="1"/>
  <c r="AO23" i="1"/>
  <c r="AO19" i="1"/>
  <c r="AO18" i="1"/>
  <c r="AO14" i="1"/>
  <c r="AO13" i="1"/>
  <c r="AO12" i="1"/>
  <c r="AR8" i="1" l="1" a="1"/>
  <c r="AR8" i="1" s="1"/>
  <c r="AQ118" i="1"/>
  <c r="AQ9" i="1"/>
  <c r="AQ10" i="1"/>
  <c r="AQ11" i="1"/>
  <c r="AQ16" i="1"/>
  <c r="AQ17" i="1"/>
  <c r="AQ25" i="1"/>
  <c r="AQ26" i="1"/>
  <c r="AQ46" i="1"/>
  <c r="AQ47" i="1"/>
  <c r="AQ48" i="1"/>
  <c r="AQ54" i="1"/>
  <c r="AQ59" i="1"/>
  <c r="AQ64" i="1"/>
  <c r="AQ70" i="1"/>
  <c r="AQ72" i="1"/>
  <c r="AQ77" i="1"/>
  <c r="AQ81" i="1"/>
  <c r="AQ86" i="1"/>
  <c r="AQ87" i="1"/>
  <c r="AQ91" i="1"/>
  <c r="AQ97" i="1"/>
  <c r="AQ98" i="1"/>
  <c r="AQ109" i="1"/>
  <c r="AQ110" i="1"/>
  <c r="AP117" i="1"/>
  <c r="AP116" i="1"/>
  <c r="AP99" i="1"/>
  <c r="AP80" i="1"/>
  <c r="AP79" i="1"/>
  <c r="AP78" i="1"/>
  <c r="AP73" i="1"/>
  <c r="AP65" i="1"/>
  <c r="AP63" i="1"/>
  <c r="AP62" i="1"/>
  <c r="AP61" i="1"/>
  <c r="AP60" i="1"/>
  <c r="AP58" i="1"/>
  <c r="AP57" i="1"/>
  <c r="AP56" i="1"/>
  <c r="AP55" i="1"/>
  <c r="AP51" i="1"/>
  <c r="AP50" i="1"/>
  <c r="AP49" i="1"/>
  <c r="AP23" i="1"/>
  <c r="AP19" i="1"/>
  <c r="AP18" i="1"/>
  <c r="AP14" i="1"/>
  <c r="AP13" i="1"/>
  <c r="AP12" i="1"/>
  <c r="AO20" i="2"/>
  <c r="AO31" i="2"/>
  <c r="AO44" i="2"/>
  <c r="AO49" i="2"/>
  <c r="AO53" i="2"/>
  <c r="AO54" i="2"/>
  <c r="AO59" i="2"/>
  <c r="AO62" i="2"/>
  <c r="AO63" i="2"/>
  <c r="AO66" i="2"/>
  <c r="AO67" i="2"/>
  <c r="AO77" i="2"/>
  <c r="AO88" i="2"/>
  <c r="AO91" i="2"/>
  <c r="AO103" i="2"/>
  <c r="AO105" i="2"/>
  <c r="AO106" i="2"/>
  <c r="AO109" i="2"/>
  <c r="AO110" i="2"/>
  <c r="AO114" i="2"/>
  <c r="AO121" i="2"/>
  <c r="AO133" i="2"/>
  <c r="AO154" i="2"/>
  <c r="AO159" i="2"/>
  <c r="AO162" i="2"/>
  <c r="AO163" i="2"/>
  <c r="AO167" i="2"/>
  <c r="AO111" i="2"/>
  <c r="AO104" i="2"/>
  <c r="AO78" i="2"/>
  <c r="AO79" i="2"/>
  <c r="AO37" i="2"/>
  <c r="AO41" i="2"/>
  <c r="AO42" i="2"/>
  <c r="AO33" i="2"/>
  <c r="AO21" i="2"/>
  <c r="AO40" i="2"/>
  <c r="AO29" i="2"/>
  <c r="AO34" i="2"/>
  <c r="AO80" i="2"/>
  <c r="AO84" i="2"/>
  <c r="AO112" i="2"/>
  <c r="AO83" i="2"/>
  <c r="AO75" i="2"/>
  <c r="AO39" i="2"/>
  <c r="AO22" i="2"/>
  <c r="AO23" i="2"/>
  <c r="AO25" i="2"/>
  <c r="AO73" i="2"/>
  <c r="AO27" i="2"/>
  <c r="AO26" i="2"/>
  <c r="AO24" i="2"/>
  <c r="AO15" i="2"/>
  <c r="AO9" i="2"/>
  <c r="AN172" i="2"/>
  <c r="AN171" i="2"/>
  <c r="AN170" i="2"/>
  <c r="AN169" i="2"/>
  <c r="AN168" i="2"/>
  <c r="AN166" i="2"/>
  <c r="AN165" i="2"/>
  <c r="AN164" i="2"/>
  <c r="AN161" i="2"/>
  <c r="AN160" i="2"/>
  <c r="AN158" i="2"/>
  <c r="AN157" i="2"/>
  <c r="AN156" i="2"/>
  <c r="AN155" i="2"/>
  <c r="AN153" i="2"/>
  <c r="AN152" i="2"/>
  <c r="AN151" i="2"/>
  <c r="AN150" i="2"/>
  <c r="AN149" i="2"/>
  <c r="AN148" i="2"/>
  <c r="AN147" i="2"/>
  <c r="AN146" i="2"/>
  <c r="AN145" i="2"/>
  <c r="AN144" i="2"/>
  <c r="AN143" i="2"/>
  <c r="AN142" i="2"/>
  <c r="AN141" i="2"/>
  <c r="AN140" i="2"/>
  <c r="AN139" i="2"/>
  <c r="AN138" i="2"/>
  <c r="AN137" i="2"/>
  <c r="AN136" i="2"/>
  <c r="AN135" i="2"/>
  <c r="AN134" i="2"/>
  <c r="AN132" i="2"/>
  <c r="AN131" i="2"/>
  <c r="AN130" i="2"/>
  <c r="AN129" i="2"/>
  <c r="AN128" i="2"/>
  <c r="AN127" i="2"/>
  <c r="AN126" i="2"/>
  <c r="AN125" i="2"/>
  <c r="AN124" i="2"/>
  <c r="AN123" i="2"/>
  <c r="AN122" i="2"/>
  <c r="AN120" i="2"/>
  <c r="AN119" i="2"/>
  <c r="AN118" i="2"/>
  <c r="AN117" i="2"/>
  <c r="AN116" i="2"/>
  <c r="AN115" i="2"/>
  <c r="AN113" i="2"/>
  <c r="AN108" i="2"/>
  <c r="AN107" i="2"/>
  <c r="AN102" i="2"/>
  <c r="AN101" i="2"/>
  <c r="AN100" i="2"/>
  <c r="AN99" i="2"/>
  <c r="AN98" i="2"/>
  <c r="AN97" i="2"/>
  <c r="AN96" i="2"/>
  <c r="AN95" i="2"/>
  <c r="AN94" i="2"/>
  <c r="AN93" i="2"/>
  <c r="AN92" i="2"/>
  <c r="AN90" i="2"/>
  <c r="AN89" i="2"/>
  <c r="AN87" i="2"/>
  <c r="AN86" i="2"/>
  <c r="AN85" i="2"/>
  <c r="AN82" i="2"/>
  <c r="AN81" i="2"/>
  <c r="AN76" i="2"/>
  <c r="AN74" i="2"/>
  <c r="AN72" i="2"/>
  <c r="AN71" i="2"/>
  <c r="AN70" i="2"/>
  <c r="AN69" i="2"/>
  <c r="AN68" i="2"/>
  <c r="AN65" i="2"/>
  <c r="AN64" i="2"/>
  <c r="AN61" i="2"/>
  <c r="AN60" i="2"/>
  <c r="AN58" i="2"/>
  <c r="AN57" i="2"/>
  <c r="AN56" i="2"/>
  <c r="AN55" i="2"/>
  <c r="AN52" i="2"/>
  <c r="AN51" i="2"/>
  <c r="AN50" i="2"/>
  <c r="AN48" i="2"/>
  <c r="AN47" i="2"/>
  <c r="AN46" i="2"/>
  <c r="AN45" i="2"/>
  <c r="AN43" i="2"/>
  <c r="AN38" i="2"/>
  <c r="AN36" i="2"/>
  <c r="AN35" i="2"/>
  <c r="AN32" i="2"/>
  <c r="AN30" i="2"/>
  <c r="AN28" i="2"/>
  <c r="AN19" i="2"/>
  <c r="AN18" i="2"/>
  <c r="AN17" i="2"/>
  <c r="AN16" i="2"/>
  <c r="AN14" i="2"/>
  <c r="AN13" i="2"/>
  <c r="AN12" i="2"/>
  <c r="AN11" i="2"/>
  <c r="AN10" i="2"/>
  <c r="AS8" i="1" l="1" a="1"/>
  <c r="AS8" i="1" s="1"/>
  <c r="AR118" i="1"/>
  <c r="AP20" i="2"/>
  <c r="AP31" i="2"/>
  <c r="AP44" i="2"/>
  <c r="AP49" i="2"/>
  <c r="AP53" i="2"/>
  <c r="AP54" i="2"/>
  <c r="AP59" i="2"/>
  <c r="AP62" i="2"/>
  <c r="AP63" i="2"/>
  <c r="AP66" i="2"/>
  <c r="AP67" i="2"/>
  <c r="AP77" i="2"/>
  <c r="AP88" i="2"/>
  <c r="AP91" i="2"/>
  <c r="AP103" i="2"/>
  <c r="AP105" i="2"/>
  <c r="AP106" i="2"/>
  <c r="AP109" i="2"/>
  <c r="AP110" i="2"/>
  <c r="AP114" i="2"/>
  <c r="AP121" i="2"/>
  <c r="AP133" i="2"/>
  <c r="AP154" i="2"/>
  <c r="AP159" i="2"/>
  <c r="AP162" i="2"/>
  <c r="AP163" i="2"/>
  <c r="AP167" i="2"/>
  <c r="AP111" i="2"/>
  <c r="AP104" i="2"/>
  <c r="AP78" i="2"/>
  <c r="AP79" i="2"/>
  <c r="AP37" i="2"/>
  <c r="AP41" i="2"/>
  <c r="AP42" i="2"/>
  <c r="AP33" i="2"/>
  <c r="AP21" i="2"/>
  <c r="AP40" i="2"/>
  <c r="AP29" i="2"/>
  <c r="AP34" i="2"/>
  <c r="AP80" i="2"/>
  <c r="AP84" i="2"/>
  <c r="AP112" i="2"/>
  <c r="AP83" i="2"/>
  <c r="AP75" i="2"/>
  <c r="AP39" i="2"/>
  <c r="AP22" i="2"/>
  <c r="AP23" i="2"/>
  <c r="AP25" i="2"/>
  <c r="AP73" i="2"/>
  <c r="AP27" i="2"/>
  <c r="AP26" i="2"/>
  <c r="AP24" i="2"/>
  <c r="AP15" i="2"/>
  <c r="AP9" i="2"/>
  <c r="AO172" i="2"/>
  <c r="AO171" i="2"/>
  <c r="AO170" i="2"/>
  <c r="AO169" i="2"/>
  <c r="AO168" i="2"/>
  <c r="AO166" i="2"/>
  <c r="AO165" i="2"/>
  <c r="AO164" i="2"/>
  <c r="AO161" i="2"/>
  <c r="AO160" i="2"/>
  <c r="AO158" i="2"/>
  <c r="AO157" i="2"/>
  <c r="AO156" i="2"/>
  <c r="AO155" i="2"/>
  <c r="AO153" i="2"/>
  <c r="AO152" i="2"/>
  <c r="AO151" i="2"/>
  <c r="AO150" i="2"/>
  <c r="AO149" i="2"/>
  <c r="AO148" i="2"/>
  <c r="AO147" i="2"/>
  <c r="AO146" i="2"/>
  <c r="AO145" i="2"/>
  <c r="AO144" i="2"/>
  <c r="AO143" i="2"/>
  <c r="AO142" i="2"/>
  <c r="AO141" i="2"/>
  <c r="AO140" i="2"/>
  <c r="AO139" i="2"/>
  <c r="AO138" i="2"/>
  <c r="AO137" i="2"/>
  <c r="AO136" i="2"/>
  <c r="AO135" i="2"/>
  <c r="AO134" i="2"/>
  <c r="AO132" i="2"/>
  <c r="AO131" i="2"/>
  <c r="AO130" i="2"/>
  <c r="AO129" i="2"/>
  <c r="AO128" i="2"/>
  <c r="AO127" i="2"/>
  <c r="AO126" i="2"/>
  <c r="AO125" i="2"/>
  <c r="AO124" i="2"/>
  <c r="AO123" i="2"/>
  <c r="AO122" i="2"/>
  <c r="AO120" i="2"/>
  <c r="AO119" i="2"/>
  <c r="AO118" i="2"/>
  <c r="AO117" i="2"/>
  <c r="AO116" i="2"/>
  <c r="AO115" i="2"/>
  <c r="AO113" i="2"/>
  <c r="AO108" i="2"/>
  <c r="AO107" i="2"/>
  <c r="AO102" i="2"/>
  <c r="AO101" i="2"/>
  <c r="AO100" i="2"/>
  <c r="AO99" i="2"/>
  <c r="AO98" i="2"/>
  <c r="AO97" i="2"/>
  <c r="AO96" i="2"/>
  <c r="AO95" i="2"/>
  <c r="AO94" i="2"/>
  <c r="AO93" i="2"/>
  <c r="AO92" i="2"/>
  <c r="AO90" i="2"/>
  <c r="AO89" i="2"/>
  <c r="AO87" i="2"/>
  <c r="AO86" i="2"/>
  <c r="AO85" i="2"/>
  <c r="AO82" i="2"/>
  <c r="AO81" i="2"/>
  <c r="AO76" i="2"/>
  <c r="AO74" i="2"/>
  <c r="AO72" i="2"/>
  <c r="AO71" i="2"/>
  <c r="AO70" i="2"/>
  <c r="AO69" i="2"/>
  <c r="AO68" i="2"/>
  <c r="AO65" i="2"/>
  <c r="AO64" i="2"/>
  <c r="AO61" i="2"/>
  <c r="AO60" i="2"/>
  <c r="AO58" i="2"/>
  <c r="AO57" i="2"/>
  <c r="AO56" i="2"/>
  <c r="AO55" i="2"/>
  <c r="AO52" i="2"/>
  <c r="AO51" i="2"/>
  <c r="AO50" i="2"/>
  <c r="AO48" i="2"/>
  <c r="AO47" i="2"/>
  <c r="AO46" i="2"/>
  <c r="AO45" i="2"/>
  <c r="AO43" i="2"/>
  <c r="AO38" i="2"/>
  <c r="AO36" i="2"/>
  <c r="AO35" i="2"/>
  <c r="AO32" i="2"/>
  <c r="AO30" i="2"/>
  <c r="AO28" i="2"/>
  <c r="AO19" i="2"/>
  <c r="AO18" i="2"/>
  <c r="AO17" i="2"/>
  <c r="AO16" i="2"/>
  <c r="AO14" i="2"/>
  <c r="AO13" i="2"/>
  <c r="AO12" i="2"/>
  <c r="AO11" i="2"/>
  <c r="AO10" i="2"/>
  <c r="AR9" i="1"/>
  <c r="AR10" i="1"/>
  <c r="AR11" i="1"/>
  <c r="AR16" i="1"/>
  <c r="AR17" i="1"/>
  <c r="AR25" i="1"/>
  <c r="AR26" i="1"/>
  <c r="AR46" i="1"/>
  <c r="AR47" i="1"/>
  <c r="AR48" i="1"/>
  <c r="AR54" i="1"/>
  <c r="AR59" i="1"/>
  <c r="AR64" i="1"/>
  <c r="AR70" i="1"/>
  <c r="AR72" i="1"/>
  <c r="AR77" i="1"/>
  <c r="AR81" i="1"/>
  <c r="AR86" i="1"/>
  <c r="AR87" i="1"/>
  <c r="AR91" i="1"/>
  <c r="AR97" i="1"/>
  <c r="AR98" i="1"/>
  <c r="AR109" i="1"/>
  <c r="AR110" i="1"/>
  <c r="AQ117" i="1"/>
  <c r="AQ116" i="1"/>
  <c r="AQ99" i="1"/>
  <c r="AQ80" i="1"/>
  <c r="AQ79" i="1"/>
  <c r="AQ78" i="1"/>
  <c r="AQ73" i="1"/>
  <c r="AQ65" i="1"/>
  <c r="AQ63" i="1"/>
  <c r="AQ62" i="1"/>
  <c r="AQ61" i="1"/>
  <c r="AQ60" i="1"/>
  <c r="AQ58" i="1"/>
  <c r="AQ57" i="1"/>
  <c r="AQ56" i="1"/>
  <c r="AQ55" i="1"/>
  <c r="AQ51" i="1"/>
  <c r="AQ50" i="1"/>
  <c r="AQ49" i="1"/>
  <c r="AQ23" i="1"/>
  <c r="AQ19" i="1"/>
  <c r="AQ18" i="1"/>
  <c r="AQ14" i="1"/>
  <c r="AQ13" i="1"/>
  <c r="AQ12" i="1"/>
  <c r="AT8" i="1" l="1" a="1"/>
  <c r="AT8" i="1" s="1"/>
  <c r="AS118" i="1"/>
  <c r="AS9" i="1"/>
  <c r="AS10" i="1"/>
  <c r="AS11" i="1"/>
  <c r="AS16" i="1"/>
  <c r="AS17" i="1"/>
  <c r="AS25" i="1"/>
  <c r="AS26" i="1"/>
  <c r="AS46" i="1"/>
  <c r="AS47" i="1"/>
  <c r="AS48" i="1"/>
  <c r="AS54" i="1"/>
  <c r="AS59" i="1"/>
  <c r="AS64" i="1"/>
  <c r="AS70" i="1"/>
  <c r="AS72" i="1"/>
  <c r="AS77" i="1"/>
  <c r="AS81" i="1"/>
  <c r="AS86" i="1"/>
  <c r="AS87" i="1"/>
  <c r="AS91" i="1"/>
  <c r="AS97" i="1"/>
  <c r="AS98" i="1"/>
  <c r="AS109" i="1"/>
  <c r="AS110" i="1"/>
  <c r="AR117" i="1"/>
  <c r="AR116" i="1"/>
  <c r="AR99" i="1"/>
  <c r="AR80" i="1"/>
  <c r="AR79" i="1"/>
  <c r="AR78" i="1"/>
  <c r="AR73" i="1"/>
  <c r="AR65" i="1"/>
  <c r="AR63" i="1"/>
  <c r="AR62" i="1"/>
  <c r="AR61" i="1"/>
  <c r="AR60" i="1"/>
  <c r="AR58" i="1"/>
  <c r="AR57" i="1"/>
  <c r="AR56" i="1"/>
  <c r="AR55" i="1"/>
  <c r="AR51" i="1"/>
  <c r="AR50" i="1"/>
  <c r="AR49" i="1"/>
  <c r="AR23" i="1"/>
  <c r="AR19" i="1"/>
  <c r="AR18" i="1"/>
  <c r="AR14" i="1"/>
  <c r="AR13" i="1"/>
  <c r="AR12" i="1"/>
  <c r="AQ20" i="2"/>
  <c r="AQ31" i="2"/>
  <c r="AQ44" i="2"/>
  <c r="AQ49" i="2"/>
  <c r="AQ53" i="2"/>
  <c r="AQ54" i="2"/>
  <c r="AQ59" i="2"/>
  <c r="AQ62" i="2"/>
  <c r="AQ63" i="2"/>
  <c r="AQ66" i="2"/>
  <c r="AQ67" i="2"/>
  <c r="AQ77" i="2"/>
  <c r="AQ88" i="2"/>
  <c r="AQ91" i="2"/>
  <c r="AQ103" i="2"/>
  <c r="AQ105" i="2"/>
  <c r="AQ106" i="2"/>
  <c r="AQ109" i="2"/>
  <c r="AQ110" i="2"/>
  <c r="AQ114" i="2"/>
  <c r="AQ121" i="2"/>
  <c r="AQ133" i="2"/>
  <c r="AQ154" i="2"/>
  <c r="AQ159" i="2"/>
  <c r="AQ162" i="2"/>
  <c r="AQ163" i="2"/>
  <c r="AQ167" i="2"/>
  <c r="AQ111" i="2"/>
  <c r="AQ104" i="2"/>
  <c r="AQ78" i="2"/>
  <c r="AQ79" i="2"/>
  <c r="AQ37" i="2"/>
  <c r="AQ41" i="2"/>
  <c r="AQ42" i="2"/>
  <c r="AQ33" i="2"/>
  <c r="AQ21" i="2"/>
  <c r="AQ40" i="2"/>
  <c r="AQ29" i="2"/>
  <c r="AQ34" i="2"/>
  <c r="AQ80" i="2"/>
  <c r="AQ84" i="2"/>
  <c r="AQ112" i="2"/>
  <c r="AQ83" i="2"/>
  <c r="AQ75" i="2"/>
  <c r="AQ39" i="2"/>
  <c r="AQ22" i="2"/>
  <c r="AQ23" i="2"/>
  <c r="AQ25" i="2"/>
  <c r="AQ73" i="2"/>
  <c r="AQ27" i="2"/>
  <c r="AQ26" i="2"/>
  <c r="AQ24" i="2"/>
  <c r="AQ15" i="2"/>
  <c r="AQ9" i="2"/>
  <c r="AP172" i="2"/>
  <c r="AP171" i="2"/>
  <c r="AP170" i="2"/>
  <c r="AP169" i="2"/>
  <c r="AP168" i="2"/>
  <c r="AP166" i="2"/>
  <c r="AP165" i="2"/>
  <c r="AP164" i="2"/>
  <c r="AP161" i="2"/>
  <c r="AP160" i="2"/>
  <c r="AP158" i="2"/>
  <c r="AP157" i="2"/>
  <c r="AP156" i="2"/>
  <c r="AP155" i="2"/>
  <c r="AP153" i="2"/>
  <c r="AP152" i="2"/>
  <c r="AP151" i="2"/>
  <c r="AP150" i="2"/>
  <c r="AP149" i="2"/>
  <c r="AP148" i="2"/>
  <c r="AP147" i="2"/>
  <c r="AP146" i="2"/>
  <c r="AP145" i="2"/>
  <c r="AP144" i="2"/>
  <c r="AP143" i="2"/>
  <c r="AP142" i="2"/>
  <c r="AP141" i="2"/>
  <c r="AP140" i="2"/>
  <c r="AP139" i="2"/>
  <c r="AP138" i="2"/>
  <c r="AP137" i="2"/>
  <c r="AP136" i="2"/>
  <c r="AP135" i="2"/>
  <c r="AP134" i="2"/>
  <c r="AP132" i="2"/>
  <c r="AP131" i="2"/>
  <c r="AP130" i="2"/>
  <c r="AP129" i="2"/>
  <c r="AP128" i="2"/>
  <c r="AP127" i="2"/>
  <c r="AP126" i="2"/>
  <c r="AP125" i="2"/>
  <c r="AP124" i="2"/>
  <c r="AP123" i="2"/>
  <c r="AP122" i="2"/>
  <c r="AP120" i="2"/>
  <c r="AP119" i="2"/>
  <c r="AP118" i="2"/>
  <c r="AP117" i="2"/>
  <c r="AP116" i="2"/>
  <c r="AP115" i="2"/>
  <c r="AP113" i="2"/>
  <c r="AP108" i="2"/>
  <c r="AP107" i="2"/>
  <c r="AP102" i="2"/>
  <c r="AP101" i="2"/>
  <c r="AP100" i="2"/>
  <c r="AP99" i="2"/>
  <c r="AP98" i="2"/>
  <c r="AP97" i="2"/>
  <c r="AP96" i="2"/>
  <c r="AP95" i="2"/>
  <c r="AP94" i="2"/>
  <c r="AP93" i="2"/>
  <c r="AP92" i="2"/>
  <c r="AP90" i="2"/>
  <c r="AP89" i="2"/>
  <c r="AP87" i="2"/>
  <c r="AP86" i="2"/>
  <c r="AP85" i="2"/>
  <c r="AP82" i="2"/>
  <c r="AP81" i="2"/>
  <c r="AP76" i="2"/>
  <c r="AP74" i="2"/>
  <c r="AP72" i="2"/>
  <c r="AP71" i="2"/>
  <c r="AP70" i="2"/>
  <c r="AP69" i="2"/>
  <c r="AP68" i="2"/>
  <c r="AP65" i="2"/>
  <c r="AP64" i="2"/>
  <c r="AP61" i="2"/>
  <c r="AP60" i="2"/>
  <c r="AP58" i="2"/>
  <c r="AP57" i="2"/>
  <c r="AP56" i="2"/>
  <c r="AP55" i="2"/>
  <c r="AP52" i="2"/>
  <c r="AP51" i="2"/>
  <c r="AP50" i="2"/>
  <c r="AP48" i="2"/>
  <c r="AP47" i="2"/>
  <c r="AP46" i="2"/>
  <c r="AP45" i="2"/>
  <c r="AP43" i="2"/>
  <c r="AP38" i="2"/>
  <c r="AP36" i="2"/>
  <c r="AP35" i="2"/>
  <c r="AP32" i="2"/>
  <c r="AP30" i="2"/>
  <c r="AP28" i="2"/>
  <c r="AP19" i="2"/>
  <c r="AP18" i="2"/>
  <c r="AP17" i="2"/>
  <c r="AP16" i="2"/>
  <c r="AP14" i="2"/>
  <c r="AP13" i="2"/>
  <c r="AP12" i="2"/>
  <c r="AP11" i="2"/>
  <c r="AP10" i="2"/>
  <c r="AU8" i="1" l="1" a="1"/>
  <c r="AU8" i="1" s="1"/>
  <c r="AT118" i="1"/>
  <c r="AR20" i="2"/>
  <c r="AR31" i="2"/>
  <c r="AR44" i="2"/>
  <c r="AR49" i="2"/>
  <c r="AR53" i="2"/>
  <c r="AR54" i="2"/>
  <c r="AR59" i="2"/>
  <c r="AR62" i="2"/>
  <c r="AR63" i="2"/>
  <c r="AR66" i="2"/>
  <c r="AR67" i="2"/>
  <c r="AR77" i="2"/>
  <c r="AR88" i="2"/>
  <c r="AR91" i="2"/>
  <c r="AR103" i="2"/>
  <c r="AR105" i="2"/>
  <c r="AR106" i="2"/>
  <c r="AR109" i="2"/>
  <c r="AR110" i="2"/>
  <c r="AR114" i="2"/>
  <c r="AR121" i="2"/>
  <c r="AR133" i="2"/>
  <c r="AR154" i="2"/>
  <c r="AR159" i="2"/>
  <c r="AR162" i="2"/>
  <c r="AR163" i="2"/>
  <c r="AR167" i="2"/>
  <c r="AR111" i="2"/>
  <c r="AR104" i="2"/>
  <c r="AR78" i="2"/>
  <c r="AR79" i="2"/>
  <c r="AR37" i="2"/>
  <c r="AR41" i="2"/>
  <c r="AR42" i="2"/>
  <c r="AR33" i="2"/>
  <c r="AR21" i="2"/>
  <c r="AR40" i="2"/>
  <c r="AR29" i="2"/>
  <c r="AR34" i="2"/>
  <c r="AR80" i="2"/>
  <c r="AR84" i="2"/>
  <c r="AR112" i="2"/>
  <c r="AR83" i="2"/>
  <c r="AR75" i="2"/>
  <c r="AR39" i="2"/>
  <c r="AR22" i="2"/>
  <c r="AR23" i="2"/>
  <c r="AR25" i="2"/>
  <c r="AR73" i="2"/>
  <c r="AR27" i="2"/>
  <c r="AR26" i="2"/>
  <c r="AR24" i="2"/>
  <c r="AR15" i="2"/>
  <c r="AR9" i="2"/>
  <c r="AQ172" i="2"/>
  <c r="AQ171" i="2"/>
  <c r="AQ170" i="2"/>
  <c r="AQ169" i="2"/>
  <c r="AQ168" i="2"/>
  <c r="AQ166" i="2"/>
  <c r="AQ165" i="2"/>
  <c r="AQ164" i="2"/>
  <c r="AQ161" i="2"/>
  <c r="AQ160" i="2"/>
  <c r="AQ158" i="2"/>
  <c r="AQ157" i="2"/>
  <c r="AQ156" i="2"/>
  <c r="AQ155" i="2"/>
  <c r="AQ153" i="2"/>
  <c r="AQ152" i="2"/>
  <c r="AQ151" i="2"/>
  <c r="AQ150" i="2"/>
  <c r="AQ149" i="2"/>
  <c r="AQ148" i="2"/>
  <c r="AQ147" i="2"/>
  <c r="AQ146" i="2"/>
  <c r="AQ145" i="2"/>
  <c r="AQ144" i="2"/>
  <c r="AQ143" i="2"/>
  <c r="AQ142" i="2"/>
  <c r="AQ141" i="2"/>
  <c r="AQ140" i="2"/>
  <c r="AQ139" i="2"/>
  <c r="AQ138" i="2"/>
  <c r="AQ137" i="2"/>
  <c r="AQ136" i="2"/>
  <c r="AQ135" i="2"/>
  <c r="AQ134" i="2"/>
  <c r="AQ132" i="2"/>
  <c r="AQ131" i="2"/>
  <c r="AQ130" i="2"/>
  <c r="AQ129" i="2"/>
  <c r="AQ128" i="2"/>
  <c r="AQ127" i="2"/>
  <c r="AQ126" i="2"/>
  <c r="AQ125" i="2"/>
  <c r="AQ124" i="2"/>
  <c r="AQ123" i="2"/>
  <c r="AQ122" i="2"/>
  <c r="AQ120" i="2"/>
  <c r="AQ119" i="2"/>
  <c r="AQ118" i="2"/>
  <c r="AQ117" i="2"/>
  <c r="AQ116" i="2"/>
  <c r="AQ115" i="2"/>
  <c r="AQ113" i="2"/>
  <c r="AQ108" i="2"/>
  <c r="AQ107" i="2"/>
  <c r="AQ102" i="2"/>
  <c r="AQ101" i="2"/>
  <c r="AQ100" i="2"/>
  <c r="AQ99" i="2"/>
  <c r="AQ98" i="2"/>
  <c r="AQ97" i="2"/>
  <c r="AQ96" i="2"/>
  <c r="AQ95" i="2"/>
  <c r="AQ94" i="2"/>
  <c r="AQ93" i="2"/>
  <c r="AQ92" i="2"/>
  <c r="AQ90" i="2"/>
  <c r="AQ89" i="2"/>
  <c r="AQ87" i="2"/>
  <c r="AQ86" i="2"/>
  <c r="AQ85" i="2"/>
  <c r="AQ82" i="2"/>
  <c r="AQ81" i="2"/>
  <c r="AQ76" i="2"/>
  <c r="AQ74" i="2"/>
  <c r="AQ72" i="2"/>
  <c r="AQ71" i="2"/>
  <c r="AQ70" i="2"/>
  <c r="AQ69" i="2"/>
  <c r="AQ68" i="2"/>
  <c r="AQ65" i="2"/>
  <c r="AQ64" i="2"/>
  <c r="AQ61" i="2"/>
  <c r="AQ60" i="2"/>
  <c r="AQ58" i="2"/>
  <c r="AQ57" i="2"/>
  <c r="AQ56" i="2"/>
  <c r="AQ55" i="2"/>
  <c r="AQ52" i="2"/>
  <c r="AQ51" i="2"/>
  <c r="AQ50" i="2"/>
  <c r="AQ48" i="2"/>
  <c r="AQ47" i="2"/>
  <c r="AQ46" i="2"/>
  <c r="AQ45" i="2"/>
  <c r="AQ43" i="2"/>
  <c r="AQ38" i="2"/>
  <c r="AQ36" i="2"/>
  <c r="AQ35" i="2"/>
  <c r="AQ32" i="2"/>
  <c r="AQ30" i="2"/>
  <c r="AQ28" i="2"/>
  <c r="AQ19" i="2"/>
  <c r="AQ18" i="2"/>
  <c r="AQ17" i="2"/>
  <c r="AQ16" i="2"/>
  <c r="AQ14" i="2"/>
  <c r="AQ13" i="2"/>
  <c r="AQ12" i="2"/>
  <c r="AQ11" i="2"/>
  <c r="AQ10" i="2"/>
  <c r="AT9" i="1"/>
  <c r="AT10" i="1"/>
  <c r="AT11" i="1"/>
  <c r="AT16" i="1"/>
  <c r="AT17" i="1"/>
  <c r="AT25" i="1"/>
  <c r="AT26" i="1"/>
  <c r="AT46" i="1"/>
  <c r="AT47" i="1"/>
  <c r="AT48" i="1"/>
  <c r="AT54" i="1"/>
  <c r="AT59" i="1"/>
  <c r="AT64" i="1"/>
  <c r="AT70" i="1"/>
  <c r="AT72" i="1"/>
  <c r="AT77" i="1"/>
  <c r="AT81" i="1"/>
  <c r="AT86" i="1"/>
  <c r="AT87" i="1"/>
  <c r="AT91" i="1"/>
  <c r="AT97" i="1"/>
  <c r="AT98" i="1"/>
  <c r="AT109" i="1"/>
  <c r="AT110" i="1"/>
  <c r="AS117" i="1"/>
  <c r="AS116" i="1"/>
  <c r="AS99" i="1"/>
  <c r="AS80" i="1"/>
  <c r="AS79" i="1"/>
  <c r="AS78" i="1"/>
  <c r="AS73" i="1"/>
  <c r="AS65" i="1"/>
  <c r="AS63" i="1"/>
  <c r="AS62" i="1"/>
  <c r="AS61" i="1"/>
  <c r="AS60" i="1"/>
  <c r="AS58" i="1"/>
  <c r="AS57" i="1"/>
  <c r="AS56" i="1"/>
  <c r="AS55" i="1"/>
  <c r="AS51" i="1"/>
  <c r="AS50" i="1"/>
  <c r="AS49" i="1"/>
  <c r="AS23" i="1"/>
  <c r="AS19" i="1"/>
  <c r="AS18" i="1"/>
  <c r="AS14" i="1"/>
  <c r="AS13" i="1"/>
  <c r="AS12" i="1"/>
  <c r="AV8" i="1" l="1" a="1"/>
  <c r="AV8" i="1" s="1"/>
  <c r="AU118" i="1"/>
  <c r="AU9" i="1"/>
  <c r="AU10" i="1"/>
  <c r="AU11" i="1"/>
  <c r="AU16" i="1"/>
  <c r="AU17" i="1"/>
  <c r="AU25" i="1"/>
  <c r="AU26" i="1"/>
  <c r="AU46" i="1"/>
  <c r="AU47" i="1"/>
  <c r="AU48" i="1"/>
  <c r="AU54" i="1"/>
  <c r="AU59" i="1"/>
  <c r="AU64" i="1"/>
  <c r="AU70" i="1"/>
  <c r="AU72" i="1"/>
  <c r="AU77" i="1"/>
  <c r="AU81" i="1"/>
  <c r="AU86" i="1"/>
  <c r="AU87" i="1"/>
  <c r="AU91" i="1"/>
  <c r="AU97" i="1"/>
  <c r="AU98" i="1"/>
  <c r="AU109" i="1"/>
  <c r="AU110" i="1"/>
  <c r="AT117" i="1"/>
  <c r="AT116" i="1"/>
  <c r="AT99" i="1"/>
  <c r="AT80" i="1"/>
  <c r="AT79" i="1"/>
  <c r="AT78" i="1"/>
  <c r="AT73" i="1"/>
  <c r="AT65" i="1"/>
  <c r="AT63" i="1"/>
  <c r="AT62" i="1"/>
  <c r="AT61" i="1"/>
  <c r="AT60" i="1"/>
  <c r="AT58" i="1"/>
  <c r="AT57" i="1"/>
  <c r="AT56" i="1"/>
  <c r="AT55" i="1"/>
  <c r="AT51" i="1"/>
  <c r="AT50" i="1"/>
  <c r="AT49" i="1"/>
  <c r="AT23" i="1"/>
  <c r="AT19" i="1"/>
  <c r="AT18" i="1"/>
  <c r="AT14" i="1"/>
  <c r="AT13" i="1"/>
  <c r="AT12" i="1"/>
  <c r="AS20" i="2"/>
  <c r="AS31" i="2"/>
  <c r="AS44" i="2"/>
  <c r="AS49" i="2"/>
  <c r="AS53" i="2"/>
  <c r="AS54" i="2"/>
  <c r="AS59" i="2"/>
  <c r="AS62" i="2"/>
  <c r="AS63" i="2"/>
  <c r="AS66" i="2"/>
  <c r="AS67" i="2"/>
  <c r="AS77" i="2"/>
  <c r="AS88" i="2"/>
  <c r="AS91" i="2"/>
  <c r="AS103" i="2"/>
  <c r="AS105" i="2"/>
  <c r="AS106" i="2"/>
  <c r="AS109" i="2"/>
  <c r="AS110" i="2"/>
  <c r="AS114" i="2"/>
  <c r="AS121" i="2"/>
  <c r="AS133" i="2"/>
  <c r="AS154" i="2"/>
  <c r="AS159" i="2"/>
  <c r="AS162" i="2"/>
  <c r="AS163" i="2"/>
  <c r="AS167" i="2"/>
  <c r="AS111" i="2"/>
  <c r="AS104" i="2"/>
  <c r="AS78" i="2"/>
  <c r="AS79" i="2"/>
  <c r="AS37" i="2"/>
  <c r="AS41" i="2"/>
  <c r="AS42" i="2"/>
  <c r="AS33" i="2"/>
  <c r="AS21" i="2"/>
  <c r="AS40" i="2"/>
  <c r="AS29" i="2"/>
  <c r="AS34" i="2"/>
  <c r="AS80" i="2"/>
  <c r="AS84" i="2"/>
  <c r="AS112" i="2"/>
  <c r="AS83" i="2"/>
  <c r="AS75" i="2"/>
  <c r="AS39" i="2"/>
  <c r="AS22" i="2"/>
  <c r="AS23" i="2"/>
  <c r="AS25" i="2"/>
  <c r="AS73" i="2"/>
  <c r="AS27" i="2"/>
  <c r="AS26" i="2"/>
  <c r="AS24" i="2"/>
  <c r="AS15" i="2"/>
  <c r="AS9" i="2"/>
  <c r="AR172" i="2"/>
  <c r="AR171" i="2"/>
  <c r="AR170" i="2"/>
  <c r="AR169" i="2"/>
  <c r="AR168" i="2"/>
  <c r="AR166" i="2"/>
  <c r="AR165" i="2"/>
  <c r="AR164" i="2"/>
  <c r="AR161" i="2"/>
  <c r="AR160" i="2"/>
  <c r="AR158" i="2"/>
  <c r="AR157" i="2"/>
  <c r="AR156" i="2"/>
  <c r="AR155" i="2"/>
  <c r="AR153" i="2"/>
  <c r="AR152" i="2"/>
  <c r="AR151" i="2"/>
  <c r="AR150" i="2"/>
  <c r="AR149" i="2"/>
  <c r="AR148" i="2"/>
  <c r="AR147" i="2"/>
  <c r="AR146" i="2"/>
  <c r="AR145" i="2"/>
  <c r="AR144" i="2"/>
  <c r="AR143" i="2"/>
  <c r="AR142" i="2"/>
  <c r="AR141" i="2"/>
  <c r="AR140" i="2"/>
  <c r="AR139" i="2"/>
  <c r="AR138" i="2"/>
  <c r="AR137" i="2"/>
  <c r="AR136" i="2"/>
  <c r="AR135" i="2"/>
  <c r="AR134" i="2"/>
  <c r="AR132" i="2"/>
  <c r="AR131" i="2"/>
  <c r="AR130" i="2"/>
  <c r="AR129" i="2"/>
  <c r="AR128" i="2"/>
  <c r="AR127" i="2"/>
  <c r="AR126" i="2"/>
  <c r="AR125" i="2"/>
  <c r="AR124" i="2"/>
  <c r="AR123" i="2"/>
  <c r="AR122" i="2"/>
  <c r="AR120" i="2"/>
  <c r="AR119" i="2"/>
  <c r="AR118" i="2"/>
  <c r="AR117" i="2"/>
  <c r="AR116" i="2"/>
  <c r="AR115" i="2"/>
  <c r="AR113" i="2"/>
  <c r="AR108" i="2"/>
  <c r="AR107" i="2"/>
  <c r="AR102" i="2"/>
  <c r="AR101" i="2"/>
  <c r="AR100" i="2"/>
  <c r="AR99" i="2"/>
  <c r="AR98" i="2"/>
  <c r="AR97" i="2"/>
  <c r="AR96" i="2"/>
  <c r="AR95" i="2"/>
  <c r="AR94" i="2"/>
  <c r="AR93" i="2"/>
  <c r="AR92" i="2"/>
  <c r="AR90" i="2"/>
  <c r="AR89" i="2"/>
  <c r="AR87" i="2"/>
  <c r="AR86" i="2"/>
  <c r="AR85" i="2"/>
  <c r="AR82" i="2"/>
  <c r="AR81" i="2"/>
  <c r="AR76" i="2"/>
  <c r="AR74" i="2"/>
  <c r="AR72" i="2"/>
  <c r="AR71" i="2"/>
  <c r="AR70" i="2"/>
  <c r="AR69" i="2"/>
  <c r="AR68" i="2"/>
  <c r="AR65" i="2"/>
  <c r="AR64" i="2"/>
  <c r="AR61" i="2"/>
  <c r="AR60" i="2"/>
  <c r="AR58" i="2"/>
  <c r="AR57" i="2"/>
  <c r="AR56" i="2"/>
  <c r="AR55" i="2"/>
  <c r="AR52" i="2"/>
  <c r="AR51" i="2"/>
  <c r="AR50" i="2"/>
  <c r="AR48" i="2"/>
  <c r="AR47" i="2"/>
  <c r="AR46" i="2"/>
  <c r="AR45" i="2"/>
  <c r="AR43" i="2"/>
  <c r="AR38" i="2"/>
  <c r="AR36" i="2"/>
  <c r="AR35" i="2"/>
  <c r="AR32" i="2"/>
  <c r="AR30" i="2"/>
  <c r="AR28" i="2"/>
  <c r="AR19" i="2"/>
  <c r="AR18" i="2"/>
  <c r="AR17" i="2"/>
  <c r="AR16" i="2"/>
  <c r="AR14" i="2"/>
  <c r="AR13" i="2"/>
  <c r="AR12" i="2"/>
  <c r="AR11" i="2"/>
  <c r="AR10" i="2"/>
  <c r="AW8" i="1" l="1" a="1"/>
  <c r="AW8" i="1" s="1"/>
  <c r="AV118" i="1"/>
  <c r="AT20" i="2"/>
  <c r="AT31" i="2"/>
  <c r="AT44" i="2"/>
  <c r="AT49" i="2"/>
  <c r="AT53" i="2"/>
  <c r="AT54" i="2"/>
  <c r="AT59" i="2"/>
  <c r="AT62" i="2"/>
  <c r="AT63" i="2"/>
  <c r="AT66" i="2"/>
  <c r="AT67" i="2"/>
  <c r="AT77" i="2"/>
  <c r="AT88" i="2"/>
  <c r="AT91" i="2"/>
  <c r="AT103" i="2"/>
  <c r="AT105" i="2"/>
  <c r="AT106" i="2"/>
  <c r="AT109" i="2"/>
  <c r="AT110" i="2"/>
  <c r="AT114" i="2"/>
  <c r="AT121" i="2"/>
  <c r="AT133" i="2"/>
  <c r="AT154" i="2"/>
  <c r="AT159" i="2"/>
  <c r="AT162" i="2"/>
  <c r="AT163" i="2"/>
  <c r="AT167" i="2"/>
  <c r="AT111" i="2"/>
  <c r="AT104" i="2"/>
  <c r="AT78" i="2"/>
  <c r="AT79" i="2"/>
  <c r="AT37" i="2"/>
  <c r="AT41" i="2"/>
  <c r="AT42" i="2"/>
  <c r="AT33" i="2"/>
  <c r="AT21" i="2"/>
  <c r="AT40" i="2"/>
  <c r="AT29" i="2"/>
  <c r="AT34" i="2"/>
  <c r="AT80" i="2"/>
  <c r="AT84" i="2"/>
  <c r="AT112" i="2"/>
  <c r="AT83" i="2"/>
  <c r="AT75" i="2"/>
  <c r="AT39" i="2"/>
  <c r="AT22" i="2"/>
  <c r="AT23" i="2"/>
  <c r="AT25" i="2"/>
  <c r="AT73" i="2"/>
  <c r="AT27" i="2"/>
  <c r="AT26" i="2"/>
  <c r="AT24" i="2"/>
  <c r="AT15" i="2"/>
  <c r="AT9" i="2"/>
  <c r="AS172" i="2"/>
  <c r="AS171" i="2"/>
  <c r="AS170" i="2"/>
  <c r="AS169" i="2"/>
  <c r="AS168" i="2"/>
  <c r="AS166" i="2"/>
  <c r="AS165" i="2"/>
  <c r="AS164" i="2"/>
  <c r="AS161" i="2"/>
  <c r="AS160" i="2"/>
  <c r="AS158" i="2"/>
  <c r="AS157" i="2"/>
  <c r="AS156" i="2"/>
  <c r="AS155" i="2"/>
  <c r="AS153" i="2"/>
  <c r="AS152" i="2"/>
  <c r="AS151" i="2"/>
  <c r="AS150" i="2"/>
  <c r="AS149" i="2"/>
  <c r="AS148" i="2"/>
  <c r="AS147" i="2"/>
  <c r="AS146" i="2"/>
  <c r="AS145" i="2"/>
  <c r="AS144" i="2"/>
  <c r="AS143" i="2"/>
  <c r="AS142" i="2"/>
  <c r="AS141" i="2"/>
  <c r="AS140" i="2"/>
  <c r="AS139" i="2"/>
  <c r="AS138" i="2"/>
  <c r="AS137" i="2"/>
  <c r="AS136" i="2"/>
  <c r="AS135" i="2"/>
  <c r="AS134" i="2"/>
  <c r="AS132" i="2"/>
  <c r="AS131" i="2"/>
  <c r="AS130" i="2"/>
  <c r="AS129" i="2"/>
  <c r="AS128" i="2"/>
  <c r="AS127" i="2"/>
  <c r="AS126" i="2"/>
  <c r="AS125" i="2"/>
  <c r="AS124" i="2"/>
  <c r="AS123" i="2"/>
  <c r="AS122" i="2"/>
  <c r="AS120" i="2"/>
  <c r="AS119" i="2"/>
  <c r="AS118" i="2"/>
  <c r="AS117" i="2"/>
  <c r="AS116" i="2"/>
  <c r="AS115" i="2"/>
  <c r="AS113" i="2"/>
  <c r="AS108" i="2"/>
  <c r="AS107" i="2"/>
  <c r="AS102" i="2"/>
  <c r="AS101" i="2"/>
  <c r="AS100" i="2"/>
  <c r="AS99" i="2"/>
  <c r="AS98" i="2"/>
  <c r="AS97" i="2"/>
  <c r="AS96" i="2"/>
  <c r="AS95" i="2"/>
  <c r="AS94" i="2"/>
  <c r="AS93" i="2"/>
  <c r="AS92" i="2"/>
  <c r="AS90" i="2"/>
  <c r="AS89" i="2"/>
  <c r="AS87" i="2"/>
  <c r="AS86" i="2"/>
  <c r="AS85" i="2"/>
  <c r="AS82" i="2"/>
  <c r="AS81" i="2"/>
  <c r="AS76" i="2"/>
  <c r="AS74" i="2"/>
  <c r="AS72" i="2"/>
  <c r="AS71" i="2"/>
  <c r="AS70" i="2"/>
  <c r="AS69" i="2"/>
  <c r="AS68" i="2"/>
  <c r="AS65" i="2"/>
  <c r="AS64" i="2"/>
  <c r="AS61" i="2"/>
  <c r="AS60" i="2"/>
  <c r="AS58" i="2"/>
  <c r="AS57" i="2"/>
  <c r="AS56" i="2"/>
  <c r="AS55" i="2"/>
  <c r="AS52" i="2"/>
  <c r="AS51" i="2"/>
  <c r="AS50" i="2"/>
  <c r="AS48" i="2"/>
  <c r="AS47" i="2"/>
  <c r="AS46" i="2"/>
  <c r="AS45" i="2"/>
  <c r="AS43" i="2"/>
  <c r="AS38" i="2"/>
  <c r="AS36" i="2"/>
  <c r="AS35" i="2"/>
  <c r="AS32" i="2"/>
  <c r="AS30" i="2"/>
  <c r="AS28" i="2"/>
  <c r="AS19" i="2"/>
  <c r="AS18" i="2"/>
  <c r="AS17" i="2"/>
  <c r="AS16" i="2"/>
  <c r="AS14" i="2"/>
  <c r="AS13" i="2"/>
  <c r="AS12" i="2"/>
  <c r="AS11" i="2"/>
  <c r="AS10" i="2"/>
  <c r="AV9" i="1"/>
  <c r="AV10" i="1"/>
  <c r="AV11" i="1"/>
  <c r="AV16" i="1"/>
  <c r="AV17" i="1"/>
  <c r="AV25" i="1"/>
  <c r="AV26" i="1"/>
  <c r="AV46" i="1"/>
  <c r="AV47" i="1"/>
  <c r="AV48" i="1"/>
  <c r="AV54" i="1"/>
  <c r="AV59" i="1"/>
  <c r="AV64" i="1"/>
  <c r="AV70" i="1"/>
  <c r="AV72" i="1"/>
  <c r="AV77" i="1"/>
  <c r="AV81" i="1"/>
  <c r="AV86" i="1"/>
  <c r="AV87" i="1"/>
  <c r="AV91" i="1"/>
  <c r="AV97" i="1"/>
  <c r="AV98" i="1"/>
  <c r="AV109" i="1"/>
  <c r="AV110" i="1"/>
  <c r="AU117" i="1"/>
  <c r="AU116" i="1"/>
  <c r="AU99" i="1"/>
  <c r="AU80" i="1"/>
  <c r="AU79" i="1"/>
  <c r="AU78" i="1"/>
  <c r="AU73" i="1"/>
  <c r="AU65" i="1"/>
  <c r="AU63" i="1"/>
  <c r="AU62" i="1"/>
  <c r="AU61" i="1"/>
  <c r="AU60" i="1"/>
  <c r="AU58" i="1"/>
  <c r="AU57" i="1"/>
  <c r="AU56" i="1"/>
  <c r="AU55" i="1"/>
  <c r="AU51" i="1"/>
  <c r="AU50" i="1"/>
  <c r="AU49" i="1"/>
  <c r="AU23" i="1"/>
  <c r="AU19" i="1"/>
  <c r="AU18" i="1"/>
  <c r="AU14" i="1"/>
  <c r="AU13" i="1"/>
  <c r="AU12" i="1"/>
  <c r="AX8" i="1" l="1" a="1"/>
  <c r="AX8" i="1" s="1"/>
  <c r="AW118" i="1"/>
  <c r="AW9" i="1"/>
  <c r="AW10" i="1"/>
  <c r="AW11" i="1"/>
  <c r="AW16" i="1"/>
  <c r="AW17" i="1"/>
  <c r="AW25" i="1"/>
  <c r="AW26" i="1"/>
  <c r="AW46" i="1"/>
  <c r="AW47" i="1"/>
  <c r="AW48" i="1"/>
  <c r="AW54" i="1"/>
  <c r="AW59" i="1"/>
  <c r="AW64" i="1"/>
  <c r="AW70" i="1"/>
  <c r="AW72" i="1"/>
  <c r="AW77" i="1"/>
  <c r="AW81" i="1"/>
  <c r="AW86" i="1"/>
  <c r="AW87" i="1"/>
  <c r="AW91" i="1"/>
  <c r="AW97" i="1"/>
  <c r="AW98" i="1"/>
  <c r="AW109" i="1"/>
  <c r="AW110" i="1"/>
  <c r="AV117" i="1"/>
  <c r="AV116" i="1"/>
  <c r="AV99" i="1"/>
  <c r="AV80" i="1"/>
  <c r="AV79" i="1"/>
  <c r="AV78" i="1"/>
  <c r="AV73" i="1"/>
  <c r="AV65" i="1"/>
  <c r="AV63" i="1"/>
  <c r="AV62" i="1"/>
  <c r="AV61" i="1"/>
  <c r="AV60" i="1"/>
  <c r="AV58" i="1"/>
  <c r="AV57" i="1"/>
  <c r="AV56" i="1"/>
  <c r="AV55" i="1"/>
  <c r="AV51" i="1"/>
  <c r="AV50" i="1"/>
  <c r="AV49" i="1"/>
  <c r="AV23" i="1"/>
  <c r="AV19" i="1"/>
  <c r="AV18" i="1"/>
  <c r="AV14" i="1"/>
  <c r="AV13" i="1"/>
  <c r="AV12" i="1"/>
  <c r="AU20" i="2"/>
  <c r="AU31" i="2"/>
  <c r="AU44" i="2"/>
  <c r="AU49" i="2"/>
  <c r="AU53" i="2"/>
  <c r="AU54" i="2"/>
  <c r="AU59" i="2"/>
  <c r="AU62" i="2"/>
  <c r="AU63" i="2"/>
  <c r="AU66" i="2"/>
  <c r="AU67" i="2"/>
  <c r="AU77" i="2"/>
  <c r="AU88" i="2"/>
  <c r="AU91" i="2"/>
  <c r="AU103" i="2"/>
  <c r="AU105" i="2"/>
  <c r="AU106" i="2"/>
  <c r="AU109" i="2"/>
  <c r="AU110" i="2"/>
  <c r="AU114" i="2"/>
  <c r="AU121" i="2"/>
  <c r="AU133" i="2"/>
  <c r="AU154" i="2"/>
  <c r="AU159" i="2"/>
  <c r="AU162" i="2"/>
  <c r="AU163" i="2"/>
  <c r="AU167" i="2"/>
  <c r="AU111" i="2"/>
  <c r="AU104" i="2"/>
  <c r="AU78" i="2"/>
  <c r="AU79" i="2"/>
  <c r="AU37" i="2"/>
  <c r="AU41" i="2"/>
  <c r="AU42" i="2"/>
  <c r="AU33" i="2"/>
  <c r="AU21" i="2"/>
  <c r="AU40" i="2"/>
  <c r="AU29" i="2"/>
  <c r="AU34" i="2"/>
  <c r="AU80" i="2"/>
  <c r="AU84" i="2"/>
  <c r="AU112" i="2"/>
  <c r="AU83" i="2"/>
  <c r="AU75" i="2"/>
  <c r="AU39" i="2"/>
  <c r="AU22" i="2"/>
  <c r="AU23" i="2"/>
  <c r="AU25" i="2"/>
  <c r="AU73" i="2"/>
  <c r="AU27" i="2"/>
  <c r="AU26" i="2"/>
  <c r="AU24" i="2"/>
  <c r="AU15" i="2"/>
  <c r="AU9" i="2"/>
  <c r="AT172" i="2"/>
  <c r="AT171" i="2"/>
  <c r="AT170" i="2"/>
  <c r="AT169" i="2"/>
  <c r="AT168" i="2"/>
  <c r="AT166" i="2"/>
  <c r="AT165" i="2"/>
  <c r="AT164" i="2"/>
  <c r="AT161" i="2"/>
  <c r="AT160" i="2"/>
  <c r="AT158" i="2"/>
  <c r="AT157" i="2"/>
  <c r="AT156" i="2"/>
  <c r="AT155" i="2"/>
  <c r="AT153" i="2"/>
  <c r="AT152" i="2"/>
  <c r="AT151" i="2"/>
  <c r="AT150" i="2"/>
  <c r="AT149" i="2"/>
  <c r="AT148" i="2"/>
  <c r="AT147" i="2"/>
  <c r="AT146" i="2"/>
  <c r="AT145" i="2"/>
  <c r="AT144" i="2"/>
  <c r="AT143" i="2"/>
  <c r="AT142" i="2"/>
  <c r="AT141" i="2"/>
  <c r="AT140" i="2"/>
  <c r="AT139" i="2"/>
  <c r="AT138" i="2"/>
  <c r="AT137" i="2"/>
  <c r="AT136" i="2"/>
  <c r="AT135" i="2"/>
  <c r="AT134" i="2"/>
  <c r="AT132" i="2"/>
  <c r="AT131" i="2"/>
  <c r="AT130" i="2"/>
  <c r="AT129" i="2"/>
  <c r="AT128" i="2"/>
  <c r="AT127" i="2"/>
  <c r="AT126" i="2"/>
  <c r="AT125" i="2"/>
  <c r="AT124" i="2"/>
  <c r="AT123" i="2"/>
  <c r="AT122" i="2"/>
  <c r="AT120" i="2"/>
  <c r="AT119" i="2"/>
  <c r="AT118" i="2"/>
  <c r="AT117" i="2"/>
  <c r="AT116" i="2"/>
  <c r="AT115" i="2"/>
  <c r="AT113" i="2"/>
  <c r="AT108" i="2"/>
  <c r="AT107" i="2"/>
  <c r="AT102" i="2"/>
  <c r="AT101" i="2"/>
  <c r="AT100" i="2"/>
  <c r="AT99" i="2"/>
  <c r="AT98" i="2"/>
  <c r="AT97" i="2"/>
  <c r="AT96" i="2"/>
  <c r="AT95" i="2"/>
  <c r="AT94" i="2"/>
  <c r="AT93" i="2"/>
  <c r="AT92" i="2"/>
  <c r="AT90" i="2"/>
  <c r="AT89" i="2"/>
  <c r="AT87" i="2"/>
  <c r="AT86" i="2"/>
  <c r="AT85" i="2"/>
  <c r="AT82" i="2"/>
  <c r="AT81" i="2"/>
  <c r="AT76" i="2"/>
  <c r="AT74" i="2"/>
  <c r="AT72" i="2"/>
  <c r="AT71" i="2"/>
  <c r="AT70" i="2"/>
  <c r="AT69" i="2"/>
  <c r="AT68" i="2"/>
  <c r="AT65" i="2"/>
  <c r="AT64" i="2"/>
  <c r="AT61" i="2"/>
  <c r="AT60" i="2"/>
  <c r="AT58" i="2"/>
  <c r="AT57" i="2"/>
  <c r="AT56" i="2"/>
  <c r="AT55" i="2"/>
  <c r="AT52" i="2"/>
  <c r="AT51" i="2"/>
  <c r="AT50" i="2"/>
  <c r="AT48" i="2"/>
  <c r="AT47" i="2"/>
  <c r="AT46" i="2"/>
  <c r="AT45" i="2"/>
  <c r="AT43" i="2"/>
  <c r="AT38" i="2"/>
  <c r="AT36" i="2"/>
  <c r="AT35" i="2"/>
  <c r="AT32" i="2"/>
  <c r="AT30" i="2"/>
  <c r="AT28" i="2"/>
  <c r="AT19" i="2"/>
  <c r="AT18" i="2"/>
  <c r="AT17" i="2"/>
  <c r="AT16" i="2"/>
  <c r="AT14" i="2"/>
  <c r="AT13" i="2"/>
  <c r="AT12" i="2"/>
  <c r="AT11" i="2"/>
  <c r="AT10" i="2"/>
  <c r="AY8" i="1" l="1" a="1"/>
  <c r="AY8" i="1" s="1"/>
  <c r="AX118" i="1"/>
  <c r="AV20" i="2"/>
  <c r="AV31" i="2"/>
  <c r="AV44" i="2"/>
  <c r="AV49" i="2"/>
  <c r="AV53" i="2"/>
  <c r="AV54" i="2"/>
  <c r="AV59" i="2"/>
  <c r="AV62" i="2"/>
  <c r="AV63" i="2"/>
  <c r="AV66" i="2"/>
  <c r="AV67" i="2"/>
  <c r="AV77" i="2"/>
  <c r="AV88" i="2"/>
  <c r="AV91" i="2"/>
  <c r="AV103" i="2"/>
  <c r="AV105" i="2"/>
  <c r="AV106" i="2"/>
  <c r="AV109" i="2"/>
  <c r="AV110" i="2"/>
  <c r="AV114" i="2"/>
  <c r="AV121" i="2"/>
  <c r="AV133" i="2"/>
  <c r="AV154" i="2"/>
  <c r="AV159" i="2"/>
  <c r="AV162" i="2"/>
  <c r="AV163" i="2"/>
  <c r="AV167" i="2"/>
  <c r="AV111" i="2"/>
  <c r="AV104" i="2"/>
  <c r="AV78" i="2"/>
  <c r="AV79" i="2"/>
  <c r="AV37" i="2"/>
  <c r="AV41" i="2"/>
  <c r="AV42" i="2"/>
  <c r="AV33" i="2"/>
  <c r="AV21" i="2"/>
  <c r="AV40" i="2"/>
  <c r="AV29" i="2"/>
  <c r="AV34" i="2"/>
  <c r="AV80" i="2"/>
  <c r="AV84" i="2"/>
  <c r="AV112" i="2"/>
  <c r="AV83" i="2"/>
  <c r="AV75" i="2"/>
  <c r="AV39" i="2"/>
  <c r="AV22" i="2"/>
  <c r="AV23" i="2"/>
  <c r="AV25" i="2"/>
  <c r="AV73" i="2"/>
  <c r="AV27" i="2"/>
  <c r="AV26" i="2"/>
  <c r="AV24" i="2"/>
  <c r="AV15" i="2"/>
  <c r="AV9" i="2"/>
  <c r="AU172" i="2"/>
  <c r="AU171" i="2"/>
  <c r="AU170" i="2"/>
  <c r="AU169" i="2"/>
  <c r="AU168" i="2"/>
  <c r="AU166" i="2"/>
  <c r="AU165" i="2"/>
  <c r="AU164" i="2"/>
  <c r="AU161" i="2"/>
  <c r="AU160" i="2"/>
  <c r="AU158" i="2"/>
  <c r="AU157" i="2"/>
  <c r="AU156" i="2"/>
  <c r="AU155" i="2"/>
  <c r="AU153" i="2"/>
  <c r="AU152" i="2"/>
  <c r="AU151" i="2"/>
  <c r="AU150" i="2"/>
  <c r="AU149" i="2"/>
  <c r="AU148" i="2"/>
  <c r="AU147" i="2"/>
  <c r="AU146" i="2"/>
  <c r="AU145" i="2"/>
  <c r="AU144" i="2"/>
  <c r="AU143" i="2"/>
  <c r="AU142" i="2"/>
  <c r="AU141" i="2"/>
  <c r="AU140" i="2"/>
  <c r="AU139" i="2"/>
  <c r="AU138" i="2"/>
  <c r="AU137" i="2"/>
  <c r="AU136" i="2"/>
  <c r="AU135" i="2"/>
  <c r="AU134" i="2"/>
  <c r="AU132" i="2"/>
  <c r="AU131" i="2"/>
  <c r="AU130" i="2"/>
  <c r="AU129" i="2"/>
  <c r="AU128" i="2"/>
  <c r="AU127" i="2"/>
  <c r="AU126" i="2"/>
  <c r="AU125" i="2"/>
  <c r="AU124" i="2"/>
  <c r="AU123" i="2"/>
  <c r="AU122" i="2"/>
  <c r="AU120" i="2"/>
  <c r="AU119" i="2"/>
  <c r="AU118" i="2"/>
  <c r="AU117" i="2"/>
  <c r="AU116" i="2"/>
  <c r="AU115" i="2"/>
  <c r="AU113" i="2"/>
  <c r="AU108" i="2"/>
  <c r="AU107" i="2"/>
  <c r="AU102" i="2"/>
  <c r="AU101" i="2"/>
  <c r="AU100" i="2"/>
  <c r="AU99" i="2"/>
  <c r="AU98" i="2"/>
  <c r="AU97" i="2"/>
  <c r="AU96" i="2"/>
  <c r="AU95" i="2"/>
  <c r="AU94" i="2"/>
  <c r="AU93" i="2"/>
  <c r="AU92" i="2"/>
  <c r="AU90" i="2"/>
  <c r="AU89" i="2"/>
  <c r="AU87" i="2"/>
  <c r="AU86" i="2"/>
  <c r="AU85" i="2"/>
  <c r="AU82" i="2"/>
  <c r="AU81" i="2"/>
  <c r="AU76" i="2"/>
  <c r="AU74" i="2"/>
  <c r="AU72" i="2"/>
  <c r="AU71" i="2"/>
  <c r="AU70" i="2"/>
  <c r="AU69" i="2"/>
  <c r="AU68" i="2"/>
  <c r="AU65" i="2"/>
  <c r="AU64" i="2"/>
  <c r="AU61" i="2"/>
  <c r="AU60" i="2"/>
  <c r="AU58" i="2"/>
  <c r="AU57" i="2"/>
  <c r="AU56" i="2"/>
  <c r="AU55" i="2"/>
  <c r="AU52" i="2"/>
  <c r="AU51" i="2"/>
  <c r="AU50" i="2"/>
  <c r="AU48" i="2"/>
  <c r="AU47" i="2"/>
  <c r="AU46" i="2"/>
  <c r="AU45" i="2"/>
  <c r="AU43" i="2"/>
  <c r="AU38" i="2"/>
  <c r="AU36" i="2"/>
  <c r="AU35" i="2"/>
  <c r="AU32" i="2"/>
  <c r="AU30" i="2"/>
  <c r="AU28" i="2"/>
  <c r="AU19" i="2"/>
  <c r="AU18" i="2"/>
  <c r="AU17" i="2"/>
  <c r="AU16" i="2"/>
  <c r="AU14" i="2"/>
  <c r="AU13" i="2"/>
  <c r="AU12" i="2"/>
  <c r="AU11" i="2"/>
  <c r="AU10" i="2"/>
  <c r="AX9" i="1"/>
  <c r="AX10" i="1"/>
  <c r="AX11" i="1"/>
  <c r="AX16" i="1"/>
  <c r="AX17" i="1"/>
  <c r="AX25" i="1"/>
  <c r="AX26" i="1"/>
  <c r="AX46" i="1"/>
  <c r="AX47" i="1"/>
  <c r="AX48" i="1"/>
  <c r="AX54" i="1"/>
  <c r="AX59" i="1"/>
  <c r="AX64" i="1"/>
  <c r="AX70" i="1"/>
  <c r="AX72" i="1"/>
  <c r="AX77" i="1"/>
  <c r="AX81" i="1"/>
  <c r="AX86" i="1"/>
  <c r="AX87" i="1"/>
  <c r="AX91" i="1"/>
  <c r="AX97" i="1"/>
  <c r="AX98" i="1"/>
  <c r="AX109" i="1"/>
  <c r="AX110" i="1"/>
  <c r="AW117" i="1"/>
  <c r="AW116" i="1"/>
  <c r="AW99" i="1"/>
  <c r="AW80" i="1"/>
  <c r="AW79" i="1"/>
  <c r="AW78" i="1"/>
  <c r="AW73" i="1"/>
  <c r="AW65" i="1"/>
  <c r="AW63" i="1"/>
  <c r="AW62" i="1"/>
  <c r="AW61" i="1"/>
  <c r="AW60" i="1"/>
  <c r="AW58" i="1"/>
  <c r="AW57" i="1"/>
  <c r="AW56" i="1"/>
  <c r="AW55" i="1"/>
  <c r="AW51" i="1"/>
  <c r="AW50" i="1"/>
  <c r="AW49" i="1"/>
  <c r="AW23" i="1"/>
  <c r="AW19" i="1"/>
  <c r="AW18" i="1"/>
  <c r="AW14" i="1"/>
  <c r="AW13" i="1"/>
  <c r="AW12" i="1"/>
  <c r="AZ8" i="1" l="1" a="1"/>
  <c r="AZ8" i="1" s="1"/>
  <c r="AY118" i="1"/>
  <c r="AY9" i="1"/>
  <c r="AY10" i="1"/>
  <c r="AY11" i="1"/>
  <c r="AY16" i="1"/>
  <c r="AY17" i="1"/>
  <c r="AY25" i="1"/>
  <c r="AY26" i="1"/>
  <c r="AY46" i="1"/>
  <c r="AY47" i="1"/>
  <c r="AY48" i="1"/>
  <c r="AY54" i="1"/>
  <c r="AY59" i="1"/>
  <c r="AY64" i="1"/>
  <c r="AY70" i="1"/>
  <c r="AY72" i="1"/>
  <c r="AY77" i="1"/>
  <c r="AY81" i="1"/>
  <c r="AY86" i="1"/>
  <c r="AY87" i="1"/>
  <c r="AY91" i="1"/>
  <c r="AY97" i="1"/>
  <c r="AY98" i="1"/>
  <c r="AY109" i="1"/>
  <c r="AY110" i="1"/>
  <c r="AX117" i="1"/>
  <c r="AX116" i="1"/>
  <c r="AX99" i="1"/>
  <c r="AX80" i="1"/>
  <c r="AX79" i="1"/>
  <c r="AX78" i="1"/>
  <c r="AX73" i="1"/>
  <c r="AX65" i="1"/>
  <c r="AX63" i="1"/>
  <c r="AX62" i="1"/>
  <c r="AX61" i="1"/>
  <c r="AX60" i="1"/>
  <c r="AX58" i="1"/>
  <c r="AX57" i="1"/>
  <c r="AX56" i="1"/>
  <c r="AX55" i="1"/>
  <c r="AX51" i="1"/>
  <c r="AX50" i="1"/>
  <c r="AX49" i="1"/>
  <c r="AX23" i="1"/>
  <c r="AX19" i="1"/>
  <c r="AX18" i="1"/>
  <c r="AX14" i="1"/>
  <c r="AX13" i="1"/>
  <c r="AX12" i="1"/>
  <c r="AW20" i="2"/>
  <c r="AW31" i="2"/>
  <c r="AW44" i="2"/>
  <c r="AW49" i="2"/>
  <c r="AW53" i="2"/>
  <c r="AW54" i="2"/>
  <c r="AW59" i="2"/>
  <c r="AW62" i="2"/>
  <c r="AW63" i="2"/>
  <c r="AW66" i="2"/>
  <c r="AW67" i="2"/>
  <c r="AW77" i="2"/>
  <c r="AW88" i="2"/>
  <c r="AW91" i="2"/>
  <c r="AW103" i="2"/>
  <c r="AW105" i="2"/>
  <c r="AW106" i="2"/>
  <c r="AW109" i="2"/>
  <c r="AW110" i="2"/>
  <c r="AW114" i="2"/>
  <c r="AW121" i="2"/>
  <c r="AW133" i="2"/>
  <c r="AW154" i="2"/>
  <c r="AW159" i="2"/>
  <c r="AW162" i="2"/>
  <c r="AW163" i="2"/>
  <c r="AW167" i="2"/>
  <c r="AW111" i="2"/>
  <c r="AW104" i="2"/>
  <c r="AW78" i="2"/>
  <c r="AW79" i="2"/>
  <c r="AW37" i="2"/>
  <c r="AW41" i="2"/>
  <c r="AW42" i="2"/>
  <c r="AW33" i="2"/>
  <c r="AW21" i="2"/>
  <c r="AW40" i="2"/>
  <c r="AW29" i="2"/>
  <c r="AW34" i="2"/>
  <c r="AW80" i="2"/>
  <c r="AW84" i="2"/>
  <c r="AW112" i="2"/>
  <c r="AW83" i="2"/>
  <c r="AW75" i="2"/>
  <c r="AW39" i="2"/>
  <c r="AW22" i="2"/>
  <c r="AW23" i="2"/>
  <c r="AW25" i="2"/>
  <c r="AW73" i="2"/>
  <c r="AW27" i="2"/>
  <c r="AW26" i="2"/>
  <c r="AW24" i="2"/>
  <c r="AW15" i="2"/>
  <c r="AW9" i="2"/>
  <c r="AV172" i="2"/>
  <c r="AV171" i="2"/>
  <c r="AV170" i="2"/>
  <c r="AV169" i="2"/>
  <c r="AV168" i="2"/>
  <c r="AV166" i="2"/>
  <c r="AV165" i="2"/>
  <c r="AV164" i="2"/>
  <c r="AV161" i="2"/>
  <c r="AV160" i="2"/>
  <c r="AV158" i="2"/>
  <c r="AV157" i="2"/>
  <c r="AV156" i="2"/>
  <c r="AV155" i="2"/>
  <c r="AV153" i="2"/>
  <c r="AV152" i="2"/>
  <c r="AV151" i="2"/>
  <c r="AV150" i="2"/>
  <c r="AV149" i="2"/>
  <c r="AV148" i="2"/>
  <c r="AV147" i="2"/>
  <c r="AV146" i="2"/>
  <c r="AV145" i="2"/>
  <c r="AV144" i="2"/>
  <c r="AV143" i="2"/>
  <c r="AV142" i="2"/>
  <c r="AV141" i="2"/>
  <c r="AV140" i="2"/>
  <c r="AV139" i="2"/>
  <c r="AV138" i="2"/>
  <c r="AV137" i="2"/>
  <c r="AV136" i="2"/>
  <c r="AV135" i="2"/>
  <c r="AV134" i="2"/>
  <c r="AV132" i="2"/>
  <c r="AV131" i="2"/>
  <c r="AV130" i="2"/>
  <c r="AV129" i="2"/>
  <c r="AV128" i="2"/>
  <c r="AV127" i="2"/>
  <c r="AV126" i="2"/>
  <c r="AV125" i="2"/>
  <c r="AV124" i="2"/>
  <c r="AV123" i="2"/>
  <c r="AV122" i="2"/>
  <c r="AV120" i="2"/>
  <c r="AV119" i="2"/>
  <c r="AV118" i="2"/>
  <c r="AV117" i="2"/>
  <c r="AV116" i="2"/>
  <c r="AV115" i="2"/>
  <c r="AV113" i="2"/>
  <c r="AV108" i="2"/>
  <c r="AV107" i="2"/>
  <c r="AV102" i="2"/>
  <c r="AV101" i="2"/>
  <c r="AV100" i="2"/>
  <c r="AV99" i="2"/>
  <c r="AV98" i="2"/>
  <c r="AV97" i="2"/>
  <c r="AV96" i="2"/>
  <c r="AV95" i="2"/>
  <c r="AV94" i="2"/>
  <c r="AV93" i="2"/>
  <c r="AV92" i="2"/>
  <c r="AV90" i="2"/>
  <c r="AV89" i="2"/>
  <c r="AV87" i="2"/>
  <c r="AV86" i="2"/>
  <c r="AV85" i="2"/>
  <c r="AV82" i="2"/>
  <c r="AV81" i="2"/>
  <c r="AV76" i="2"/>
  <c r="AV74" i="2"/>
  <c r="AV72" i="2"/>
  <c r="AV71" i="2"/>
  <c r="AV70" i="2"/>
  <c r="AV69" i="2"/>
  <c r="AV68" i="2"/>
  <c r="AV65" i="2"/>
  <c r="AV64" i="2"/>
  <c r="AV61" i="2"/>
  <c r="AV60" i="2"/>
  <c r="AV58" i="2"/>
  <c r="AV57" i="2"/>
  <c r="AV56" i="2"/>
  <c r="AV55" i="2"/>
  <c r="AV52" i="2"/>
  <c r="AV51" i="2"/>
  <c r="AV50" i="2"/>
  <c r="AV48" i="2"/>
  <c r="AV47" i="2"/>
  <c r="AV46" i="2"/>
  <c r="AV45" i="2"/>
  <c r="AV43" i="2"/>
  <c r="AV38" i="2"/>
  <c r="AV36" i="2"/>
  <c r="AV35" i="2"/>
  <c r="AV32" i="2"/>
  <c r="AV30" i="2"/>
  <c r="AV28" i="2"/>
  <c r="AV19" i="2"/>
  <c r="AV18" i="2"/>
  <c r="AV17" i="2"/>
  <c r="AV16" i="2"/>
  <c r="AV14" i="2"/>
  <c r="AV13" i="2"/>
  <c r="AV12" i="2"/>
  <c r="AV11" i="2"/>
  <c r="AV10" i="2"/>
  <c r="BA8" i="1" l="1" a="1"/>
  <c r="BA8" i="1" s="1"/>
  <c r="AZ118" i="1"/>
  <c r="AX20" i="2"/>
  <c r="AX31" i="2"/>
  <c r="AX44" i="2"/>
  <c r="AX49" i="2"/>
  <c r="AX53" i="2"/>
  <c r="AX54" i="2"/>
  <c r="AX59" i="2"/>
  <c r="AX62" i="2"/>
  <c r="AX63" i="2"/>
  <c r="AX66" i="2"/>
  <c r="AX67" i="2"/>
  <c r="AX77" i="2"/>
  <c r="AX88" i="2"/>
  <c r="AX91" i="2"/>
  <c r="AX103" i="2"/>
  <c r="AX105" i="2"/>
  <c r="AX106" i="2"/>
  <c r="AX109" i="2"/>
  <c r="AX110" i="2"/>
  <c r="AX114" i="2"/>
  <c r="AX121" i="2"/>
  <c r="AX133" i="2"/>
  <c r="AX154" i="2"/>
  <c r="AX159" i="2"/>
  <c r="AX162" i="2"/>
  <c r="AX163" i="2"/>
  <c r="AX167" i="2"/>
  <c r="AX111" i="2"/>
  <c r="AX104" i="2"/>
  <c r="AX78" i="2"/>
  <c r="AX79" i="2"/>
  <c r="AX37" i="2"/>
  <c r="AX41" i="2"/>
  <c r="AX42" i="2"/>
  <c r="AX33" i="2"/>
  <c r="AX21" i="2"/>
  <c r="AX40" i="2"/>
  <c r="AX29" i="2"/>
  <c r="AX34" i="2"/>
  <c r="AX80" i="2"/>
  <c r="AX84" i="2"/>
  <c r="AX112" i="2"/>
  <c r="AX83" i="2"/>
  <c r="AX75" i="2"/>
  <c r="AX39" i="2"/>
  <c r="AX22" i="2"/>
  <c r="AX23" i="2"/>
  <c r="AX25" i="2"/>
  <c r="AX73" i="2"/>
  <c r="AX27" i="2"/>
  <c r="AX26" i="2"/>
  <c r="AX24" i="2"/>
  <c r="AX15" i="2"/>
  <c r="AX9" i="2"/>
  <c r="AW172" i="2"/>
  <c r="AW171" i="2"/>
  <c r="AW170" i="2"/>
  <c r="AW169" i="2"/>
  <c r="AW168" i="2"/>
  <c r="AW166" i="2"/>
  <c r="AW165" i="2"/>
  <c r="AW164" i="2"/>
  <c r="AW161" i="2"/>
  <c r="AW160" i="2"/>
  <c r="AW158" i="2"/>
  <c r="AW157" i="2"/>
  <c r="AW156" i="2"/>
  <c r="AW155" i="2"/>
  <c r="AW153" i="2"/>
  <c r="AW152" i="2"/>
  <c r="AW151" i="2"/>
  <c r="AW150" i="2"/>
  <c r="AW149" i="2"/>
  <c r="AW148" i="2"/>
  <c r="AW147" i="2"/>
  <c r="AW146" i="2"/>
  <c r="AW145" i="2"/>
  <c r="AW144" i="2"/>
  <c r="AW143" i="2"/>
  <c r="AW142" i="2"/>
  <c r="AW141" i="2"/>
  <c r="AW140" i="2"/>
  <c r="AW139" i="2"/>
  <c r="AW138" i="2"/>
  <c r="AW137" i="2"/>
  <c r="AW136" i="2"/>
  <c r="AW135" i="2"/>
  <c r="AW134" i="2"/>
  <c r="AW132" i="2"/>
  <c r="AW131" i="2"/>
  <c r="AW130" i="2"/>
  <c r="AW129" i="2"/>
  <c r="AW128" i="2"/>
  <c r="AW127" i="2"/>
  <c r="AW126" i="2"/>
  <c r="AW125" i="2"/>
  <c r="AW124" i="2"/>
  <c r="AW123" i="2"/>
  <c r="AW122" i="2"/>
  <c r="AW120" i="2"/>
  <c r="AW119" i="2"/>
  <c r="AW118" i="2"/>
  <c r="AW117" i="2"/>
  <c r="AW116" i="2"/>
  <c r="AW115" i="2"/>
  <c r="AW113" i="2"/>
  <c r="AW108" i="2"/>
  <c r="AW107" i="2"/>
  <c r="AW102" i="2"/>
  <c r="AW101" i="2"/>
  <c r="AW100" i="2"/>
  <c r="AW99" i="2"/>
  <c r="AW98" i="2"/>
  <c r="AW97" i="2"/>
  <c r="AW96" i="2"/>
  <c r="AW95" i="2"/>
  <c r="AW94" i="2"/>
  <c r="AW93" i="2"/>
  <c r="AW92" i="2"/>
  <c r="AW90" i="2"/>
  <c r="AW89" i="2"/>
  <c r="AW87" i="2"/>
  <c r="AW86" i="2"/>
  <c r="AW85" i="2"/>
  <c r="AW82" i="2"/>
  <c r="AW81" i="2"/>
  <c r="AW76" i="2"/>
  <c r="AW74" i="2"/>
  <c r="AW72" i="2"/>
  <c r="AW71" i="2"/>
  <c r="AW70" i="2"/>
  <c r="AW69" i="2"/>
  <c r="AW68" i="2"/>
  <c r="AW65" i="2"/>
  <c r="AW64" i="2"/>
  <c r="AW61" i="2"/>
  <c r="AW60" i="2"/>
  <c r="AW58" i="2"/>
  <c r="AW57" i="2"/>
  <c r="AW56" i="2"/>
  <c r="AW55" i="2"/>
  <c r="AW52" i="2"/>
  <c r="AW51" i="2"/>
  <c r="AW50" i="2"/>
  <c r="AW48" i="2"/>
  <c r="AW47" i="2"/>
  <c r="AW46" i="2"/>
  <c r="AW45" i="2"/>
  <c r="AW43" i="2"/>
  <c r="AW38" i="2"/>
  <c r="AW36" i="2"/>
  <c r="AW35" i="2"/>
  <c r="AW32" i="2"/>
  <c r="AW30" i="2"/>
  <c r="AW28" i="2"/>
  <c r="AW19" i="2"/>
  <c r="AW18" i="2"/>
  <c r="AW17" i="2"/>
  <c r="AW16" i="2"/>
  <c r="AW14" i="2"/>
  <c r="AW13" i="2"/>
  <c r="AW12" i="2"/>
  <c r="AW11" i="2"/>
  <c r="AW10" i="2"/>
  <c r="AZ9" i="1"/>
  <c r="AZ10" i="1"/>
  <c r="AZ11" i="1"/>
  <c r="AZ16" i="1"/>
  <c r="AZ17" i="1"/>
  <c r="AZ25" i="1"/>
  <c r="AZ26" i="1"/>
  <c r="AZ46" i="1"/>
  <c r="AZ47" i="1"/>
  <c r="AZ48" i="1"/>
  <c r="AZ54" i="1"/>
  <c r="AZ59" i="1"/>
  <c r="AZ64" i="1"/>
  <c r="AZ70" i="1"/>
  <c r="AZ72" i="1"/>
  <c r="AZ77" i="1"/>
  <c r="AZ81" i="1"/>
  <c r="AZ86" i="1"/>
  <c r="AZ87" i="1"/>
  <c r="AZ91" i="1"/>
  <c r="AZ97" i="1"/>
  <c r="AZ98" i="1"/>
  <c r="AZ109" i="1"/>
  <c r="AZ110" i="1"/>
  <c r="AY117" i="1"/>
  <c r="AY116" i="1"/>
  <c r="AY99" i="1"/>
  <c r="AY80" i="1"/>
  <c r="AY79" i="1"/>
  <c r="AY78" i="1"/>
  <c r="AY73" i="1"/>
  <c r="AY65" i="1"/>
  <c r="AY63" i="1"/>
  <c r="AY62" i="1"/>
  <c r="AY61" i="1"/>
  <c r="AY60" i="1"/>
  <c r="AY58" i="1"/>
  <c r="AY57" i="1"/>
  <c r="AY56" i="1"/>
  <c r="AY55" i="1"/>
  <c r="AY51" i="1"/>
  <c r="AY50" i="1"/>
  <c r="AY49" i="1"/>
  <c r="AY23" i="1"/>
  <c r="AY19" i="1"/>
  <c r="AY18" i="1"/>
  <c r="AY14" i="1"/>
  <c r="AY13" i="1"/>
  <c r="AY12" i="1"/>
  <c r="BB8" i="1" l="1" a="1"/>
  <c r="BB8" i="1" s="1"/>
  <c r="BA118" i="1"/>
  <c r="BA9" i="1"/>
  <c r="BA10" i="1"/>
  <c r="BA11" i="1"/>
  <c r="BA16" i="1"/>
  <c r="BA17" i="1"/>
  <c r="BA25" i="1"/>
  <c r="BA26" i="1"/>
  <c r="BA46" i="1"/>
  <c r="BA47" i="1"/>
  <c r="BA48" i="1"/>
  <c r="BA54" i="1"/>
  <c r="BA59" i="1"/>
  <c r="BA64" i="1"/>
  <c r="BA70" i="1"/>
  <c r="BA72" i="1"/>
  <c r="BA77" i="1"/>
  <c r="BA81" i="1"/>
  <c r="BA86" i="1"/>
  <c r="BA87" i="1"/>
  <c r="BA91" i="1"/>
  <c r="BA97" i="1"/>
  <c r="BA98" i="1"/>
  <c r="BA109" i="1"/>
  <c r="BA110" i="1"/>
  <c r="AZ117" i="1"/>
  <c r="AZ116" i="1"/>
  <c r="AZ99" i="1"/>
  <c r="AZ80" i="1"/>
  <c r="AZ79" i="1"/>
  <c r="AZ78" i="1"/>
  <c r="AZ73" i="1"/>
  <c r="AZ65" i="1"/>
  <c r="AZ63" i="1"/>
  <c r="AZ62" i="1"/>
  <c r="AZ61" i="1"/>
  <c r="AZ60" i="1"/>
  <c r="AZ58" i="1"/>
  <c r="AZ57" i="1"/>
  <c r="AZ56" i="1"/>
  <c r="AZ55" i="1"/>
  <c r="AZ51" i="1"/>
  <c r="AZ50" i="1"/>
  <c r="AZ49" i="1"/>
  <c r="AZ23" i="1"/>
  <c r="AZ19" i="1"/>
  <c r="AZ18" i="1"/>
  <c r="AZ14" i="1"/>
  <c r="AZ13" i="1"/>
  <c r="AZ12" i="1"/>
  <c r="AY20" i="2"/>
  <c r="AY31" i="2"/>
  <c r="AY44" i="2"/>
  <c r="AY49" i="2"/>
  <c r="AY53" i="2"/>
  <c r="AY54" i="2"/>
  <c r="AY59" i="2"/>
  <c r="AY62" i="2"/>
  <c r="AY63" i="2"/>
  <c r="AY66" i="2"/>
  <c r="AY67" i="2"/>
  <c r="AY77" i="2"/>
  <c r="AY88" i="2"/>
  <c r="AY91" i="2"/>
  <c r="AY103" i="2"/>
  <c r="AY105" i="2"/>
  <c r="AY106" i="2"/>
  <c r="AY109" i="2"/>
  <c r="AY110" i="2"/>
  <c r="AY114" i="2"/>
  <c r="AY121" i="2"/>
  <c r="AY133" i="2"/>
  <c r="AY154" i="2"/>
  <c r="AY159" i="2"/>
  <c r="AY162" i="2"/>
  <c r="AY163" i="2"/>
  <c r="AY167" i="2"/>
  <c r="AY111" i="2"/>
  <c r="AY104" i="2"/>
  <c r="AY78" i="2"/>
  <c r="AY79" i="2"/>
  <c r="AY37" i="2"/>
  <c r="AY41" i="2"/>
  <c r="AY42" i="2"/>
  <c r="AY33" i="2"/>
  <c r="AY21" i="2"/>
  <c r="AY40" i="2"/>
  <c r="AY29" i="2"/>
  <c r="AY34" i="2"/>
  <c r="AY80" i="2"/>
  <c r="AY84" i="2"/>
  <c r="AY112" i="2"/>
  <c r="AY83" i="2"/>
  <c r="AY75" i="2"/>
  <c r="AY39" i="2"/>
  <c r="AY22" i="2"/>
  <c r="AY23" i="2"/>
  <c r="AY25" i="2"/>
  <c r="AY73" i="2"/>
  <c r="AY27" i="2"/>
  <c r="AY26" i="2"/>
  <c r="AY24" i="2"/>
  <c r="AY15" i="2"/>
  <c r="AY9" i="2"/>
  <c r="AX172" i="2"/>
  <c r="AX171" i="2"/>
  <c r="AX170" i="2"/>
  <c r="AX169" i="2"/>
  <c r="AX168" i="2"/>
  <c r="AX166" i="2"/>
  <c r="AX165" i="2"/>
  <c r="AX164" i="2"/>
  <c r="AX161" i="2"/>
  <c r="AX160" i="2"/>
  <c r="AX158" i="2"/>
  <c r="AX157" i="2"/>
  <c r="AX156" i="2"/>
  <c r="AX155" i="2"/>
  <c r="AX153" i="2"/>
  <c r="AX152" i="2"/>
  <c r="AX151" i="2"/>
  <c r="AX150" i="2"/>
  <c r="AX149" i="2"/>
  <c r="AX148" i="2"/>
  <c r="AX147" i="2"/>
  <c r="AX146" i="2"/>
  <c r="AX145" i="2"/>
  <c r="AX144" i="2"/>
  <c r="AX143" i="2"/>
  <c r="AX142" i="2"/>
  <c r="AX141" i="2"/>
  <c r="AX140" i="2"/>
  <c r="AX139" i="2"/>
  <c r="AX138" i="2"/>
  <c r="AX137" i="2"/>
  <c r="AX136" i="2"/>
  <c r="AX135" i="2"/>
  <c r="AX134" i="2"/>
  <c r="AX132" i="2"/>
  <c r="AX131" i="2"/>
  <c r="AX130" i="2"/>
  <c r="AX129" i="2"/>
  <c r="AX128" i="2"/>
  <c r="AX127" i="2"/>
  <c r="AX126" i="2"/>
  <c r="AX125" i="2"/>
  <c r="AX124" i="2"/>
  <c r="AX123" i="2"/>
  <c r="AX122" i="2"/>
  <c r="AX120" i="2"/>
  <c r="AX119" i="2"/>
  <c r="AX118" i="2"/>
  <c r="AX117" i="2"/>
  <c r="AX116" i="2"/>
  <c r="AX115" i="2"/>
  <c r="AX113" i="2"/>
  <c r="AX108" i="2"/>
  <c r="AX107" i="2"/>
  <c r="AX102" i="2"/>
  <c r="AX101" i="2"/>
  <c r="AX100" i="2"/>
  <c r="AX99" i="2"/>
  <c r="AX98" i="2"/>
  <c r="AX97" i="2"/>
  <c r="AX96" i="2"/>
  <c r="AX95" i="2"/>
  <c r="AX94" i="2"/>
  <c r="AX93" i="2"/>
  <c r="AX92" i="2"/>
  <c r="AX90" i="2"/>
  <c r="AX89" i="2"/>
  <c r="AX87" i="2"/>
  <c r="AX86" i="2"/>
  <c r="AX85" i="2"/>
  <c r="AX82" i="2"/>
  <c r="AX81" i="2"/>
  <c r="AX76" i="2"/>
  <c r="AX74" i="2"/>
  <c r="AX72" i="2"/>
  <c r="AX71" i="2"/>
  <c r="AX70" i="2"/>
  <c r="AX69" i="2"/>
  <c r="AX68" i="2"/>
  <c r="AX65" i="2"/>
  <c r="AX64" i="2"/>
  <c r="AX61" i="2"/>
  <c r="AX60" i="2"/>
  <c r="AX58" i="2"/>
  <c r="AX57" i="2"/>
  <c r="AX56" i="2"/>
  <c r="AX55" i="2"/>
  <c r="AX52" i="2"/>
  <c r="AX51" i="2"/>
  <c r="AX50" i="2"/>
  <c r="AX48" i="2"/>
  <c r="AX47" i="2"/>
  <c r="AX46" i="2"/>
  <c r="AX45" i="2"/>
  <c r="AX43" i="2"/>
  <c r="AX38" i="2"/>
  <c r="AX36" i="2"/>
  <c r="AX35" i="2"/>
  <c r="AX32" i="2"/>
  <c r="AX30" i="2"/>
  <c r="AX28" i="2"/>
  <c r="AX19" i="2"/>
  <c r="AX18" i="2"/>
  <c r="AX17" i="2"/>
  <c r="AX16" i="2"/>
  <c r="AX14" i="2"/>
  <c r="AX13" i="2"/>
  <c r="AX12" i="2"/>
  <c r="AX11" i="2"/>
  <c r="AX10" i="2"/>
  <c r="BC8" i="1" l="1" a="1"/>
  <c r="BC8" i="1" s="1"/>
  <c r="BB118" i="1"/>
  <c r="AZ20" i="2"/>
  <c r="AZ31" i="2"/>
  <c r="AZ44" i="2"/>
  <c r="AZ49" i="2"/>
  <c r="AZ53" i="2"/>
  <c r="AZ54" i="2"/>
  <c r="AZ59" i="2"/>
  <c r="AZ62" i="2"/>
  <c r="AZ63" i="2"/>
  <c r="AZ66" i="2"/>
  <c r="AZ67" i="2"/>
  <c r="AZ77" i="2"/>
  <c r="AZ88" i="2"/>
  <c r="AZ91" i="2"/>
  <c r="AZ103" i="2"/>
  <c r="AZ105" i="2"/>
  <c r="AZ106" i="2"/>
  <c r="AZ109" i="2"/>
  <c r="AZ110" i="2"/>
  <c r="AZ114" i="2"/>
  <c r="AZ121" i="2"/>
  <c r="AZ133" i="2"/>
  <c r="AZ154" i="2"/>
  <c r="AZ159" i="2"/>
  <c r="AZ162" i="2"/>
  <c r="AZ163" i="2"/>
  <c r="AZ167" i="2"/>
  <c r="AZ111" i="2"/>
  <c r="AZ104" i="2"/>
  <c r="AZ78" i="2"/>
  <c r="AZ79" i="2"/>
  <c r="AZ37" i="2"/>
  <c r="AZ41" i="2"/>
  <c r="AZ42" i="2"/>
  <c r="AZ33" i="2"/>
  <c r="AZ21" i="2"/>
  <c r="AZ40" i="2"/>
  <c r="AZ29" i="2"/>
  <c r="AZ34" i="2"/>
  <c r="AZ80" i="2"/>
  <c r="AZ84" i="2"/>
  <c r="AZ112" i="2"/>
  <c r="AZ83" i="2"/>
  <c r="AZ75" i="2"/>
  <c r="AZ39" i="2"/>
  <c r="AZ22" i="2"/>
  <c r="AZ23" i="2"/>
  <c r="AZ25" i="2"/>
  <c r="AZ73" i="2"/>
  <c r="AZ27" i="2"/>
  <c r="AZ26" i="2"/>
  <c r="AZ24" i="2"/>
  <c r="AZ15" i="2"/>
  <c r="AZ9" i="2"/>
  <c r="AY172" i="2"/>
  <c r="AY171" i="2"/>
  <c r="AY170" i="2"/>
  <c r="AY169" i="2"/>
  <c r="AY168" i="2"/>
  <c r="AY166" i="2"/>
  <c r="AY165" i="2"/>
  <c r="AY164" i="2"/>
  <c r="AY161" i="2"/>
  <c r="AY160" i="2"/>
  <c r="AY158" i="2"/>
  <c r="AY157" i="2"/>
  <c r="AY156" i="2"/>
  <c r="AY155" i="2"/>
  <c r="AY153" i="2"/>
  <c r="AY152" i="2"/>
  <c r="AY151" i="2"/>
  <c r="AY150" i="2"/>
  <c r="AY149" i="2"/>
  <c r="AY148" i="2"/>
  <c r="AY147" i="2"/>
  <c r="AY146" i="2"/>
  <c r="AY145" i="2"/>
  <c r="AY144" i="2"/>
  <c r="AY143" i="2"/>
  <c r="AY142" i="2"/>
  <c r="AY141" i="2"/>
  <c r="AY140" i="2"/>
  <c r="AY139" i="2"/>
  <c r="AY138" i="2"/>
  <c r="AY137" i="2"/>
  <c r="AY136" i="2"/>
  <c r="AY135" i="2"/>
  <c r="AY134" i="2"/>
  <c r="AY132" i="2"/>
  <c r="AY131" i="2"/>
  <c r="AY130" i="2"/>
  <c r="AY129" i="2"/>
  <c r="AY128" i="2"/>
  <c r="AY127" i="2"/>
  <c r="AY126" i="2"/>
  <c r="AY125" i="2"/>
  <c r="AY124" i="2"/>
  <c r="AY123" i="2"/>
  <c r="AY122" i="2"/>
  <c r="AY120" i="2"/>
  <c r="AY119" i="2"/>
  <c r="AY118" i="2"/>
  <c r="AY117" i="2"/>
  <c r="AY116" i="2"/>
  <c r="AY115" i="2"/>
  <c r="AY113" i="2"/>
  <c r="AY108" i="2"/>
  <c r="AY107" i="2"/>
  <c r="AY102" i="2"/>
  <c r="AY101" i="2"/>
  <c r="AY100" i="2"/>
  <c r="AY99" i="2"/>
  <c r="AY98" i="2"/>
  <c r="AY97" i="2"/>
  <c r="AY96" i="2"/>
  <c r="AY95" i="2"/>
  <c r="AY94" i="2"/>
  <c r="AY93" i="2"/>
  <c r="AY92" i="2"/>
  <c r="AY90" i="2"/>
  <c r="AY89" i="2"/>
  <c r="AY87" i="2"/>
  <c r="AY86" i="2"/>
  <c r="AY85" i="2"/>
  <c r="AY82" i="2"/>
  <c r="AY81" i="2"/>
  <c r="AY76" i="2"/>
  <c r="AY74" i="2"/>
  <c r="AY72" i="2"/>
  <c r="AY71" i="2"/>
  <c r="AY70" i="2"/>
  <c r="AY69" i="2"/>
  <c r="AY68" i="2"/>
  <c r="AY65" i="2"/>
  <c r="AY64" i="2"/>
  <c r="AY61" i="2"/>
  <c r="AY60" i="2"/>
  <c r="AY58" i="2"/>
  <c r="AY57" i="2"/>
  <c r="AY56" i="2"/>
  <c r="AY55" i="2"/>
  <c r="AY52" i="2"/>
  <c r="AY51" i="2"/>
  <c r="AY50" i="2"/>
  <c r="AY48" i="2"/>
  <c r="AY47" i="2"/>
  <c r="AY46" i="2"/>
  <c r="AY45" i="2"/>
  <c r="AY43" i="2"/>
  <c r="AY38" i="2"/>
  <c r="AY36" i="2"/>
  <c r="AY35" i="2"/>
  <c r="AY32" i="2"/>
  <c r="AY30" i="2"/>
  <c r="AY28" i="2"/>
  <c r="AY19" i="2"/>
  <c r="AY18" i="2"/>
  <c r="AY17" i="2"/>
  <c r="AY16" i="2"/>
  <c r="AY14" i="2"/>
  <c r="AY13" i="2"/>
  <c r="AY12" i="2"/>
  <c r="AY11" i="2"/>
  <c r="AY10" i="2"/>
  <c r="BB9" i="1"/>
  <c r="BB10" i="1"/>
  <c r="BB11" i="1"/>
  <c r="BB16" i="1"/>
  <c r="BB17" i="1"/>
  <c r="BB25" i="1"/>
  <c r="BB26" i="1"/>
  <c r="BB46" i="1"/>
  <c r="BB47" i="1"/>
  <c r="BB48" i="1"/>
  <c r="BB54" i="1"/>
  <c r="BB59" i="1"/>
  <c r="BB64" i="1"/>
  <c r="BB70" i="1"/>
  <c r="BB72" i="1"/>
  <c r="BB77" i="1"/>
  <c r="BB81" i="1"/>
  <c r="BB86" i="1"/>
  <c r="BB87" i="1"/>
  <c r="BB91" i="1"/>
  <c r="BB97" i="1"/>
  <c r="BB98" i="1"/>
  <c r="BB109" i="1"/>
  <c r="BB110" i="1"/>
  <c r="BA117" i="1"/>
  <c r="BA116" i="1"/>
  <c r="BA99" i="1"/>
  <c r="BA80" i="1"/>
  <c r="BA79" i="1"/>
  <c r="BA78" i="1"/>
  <c r="BA73" i="1"/>
  <c r="BA65" i="1"/>
  <c r="BA63" i="1"/>
  <c r="BA62" i="1"/>
  <c r="BA61" i="1"/>
  <c r="BA60" i="1"/>
  <c r="BA58" i="1"/>
  <c r="BA57" i="1"/>
  <c r="BA56" i="1"/>
  <c r="BA55" i="1"/>
  <c r="BA51" i="1"/>
  <c r="BA50" i="1"/>
  <c r="BA49" i="1"/>
  <c r="BA23" i="1"/>
  <c r="BA19" i="1"/>
  <c r="BA18" i="1"/>
  <c r="BA14" i="1"/>
  <c r="BA13" i="1"/>
  <c r="BA12" i="1"/>
  <c r="BD8" i="1" l="1" a="1"/>
  <c r="BD8" i="1" s="1"/>
  <c r="BC118" i="1"/>
  <c r="BC9" i="1"/>
  <c r="BC10" i="1"/>
  <c r="BC11" i="1"/>
  <c r="BC16" i="1"/>
  <c r="BC17" i="1"/>
  <c r="BC25" i="1"/>
  <c r="BC26" i="1"/>
  <c r="BC46" i="1"/>
  <c r="BC47" i="1"/>
  <c r="BC48" i="1"/>
  <c r="BC54" i="1"/>
  <c r="BC59" i="1"/>
  <c r="BC64" i="1"/>
  <c r="BC70" i="1"/>
  <c r="BC72" i="1"/>
  <c r="BC77" i="1"/>
  <c r="BC81" i="1"/>
  <c r="BC86" i="1"/>
  <c r="BC87" i="1"/>
  <c r="BC91" i="1"/>
  <c r="BC97" i="1"/>
  <c r="BC98" i="1"/>
  <c r="BC109" i="1"/>
  <c r="BC110" i="1"/>
  <c r="BB117" i="1"/>
  <c r="BB116" i="1"/>
  <c r="BB99" i="1"/>
  <c r="BB80" i="1"/>
  <c r="BB79" i="1"/>
  <c r="BB78" i="1"/>
  <c r="BB73" i="1"/>
  <c r="BB65" i="1"/>
  <c r="BB63" i="1"/>
  <c r="BB62" i="1"/>
  <c r="BB61" i="1"/>
  <c r="BB60" i="1"/>
  <c r="BB58" i="1"/>
  <c r="BB57" i="1"/>
  <c r="BB56" i="1"/>
  <c r="BB55" i="1"/>
  <c r="BB51" i="1"/>
  <c r="BB50" i="1"/>
  <c r="BB49" i="1"/>
  <c r="BB23" i="1"/>
  <c r="BB19" i="1"/>
  <c r="BB18" i="1"/>
  <c r="BB14" i="1"/>
  <c r="BB13" i="1"/>
  <c r="BB12" i="1"/>
  <c r="BA20" i="2"/>
  <c r="BA31" i="2"/>
  <c r="BA44" i="2"/>
  <c r="BA49" i="2"/>
  <c r="BA53" i="2"/>
  <c r="BA54" i="2"/>
  <c r="BA59" i="2"/>
  <c r="BA62" i="2"/>
  <c r="BA63" i="2"/>
  <c r="BA66" i="2"/>
  <c r="BA67" i="2"/>
  <c r="BA77" i="2"/>
  <c r="BA88" i="2"/>
  <c r="BA91" i="2"/>
  <c r="BA103" i="2"/>
  <c r="BA105" i="2"/>
  <c r="BA106" i="2"/>
  <c r="BA109" i="2"/>
  <c r="BA110" i="2"/>
  <c r="BA114" i="2"/>
  <c r="BA121" i="2"/>
  <c r="BA133" i="2"/>
  <c r="BA154" i="2"/>
  <c r="BA159" i="2"/>
  <c r="BA162" i="2"/>
  <c r="BA163" i="2"/>
  <c r="BA167" i="2"/>
  <c r="BA111" i="2"/>
  <c r="BA104" i="2"/>
  <c r="BA78" i="2"/>
  <c r="BA79" i="2"/>
  <c r="BA37" i="2"/>
  <c r="BA41" i="2"/>
  <c r="BA42" i="2"/>
  <c r="BA33" i="2"/>
  <c r="BA21" i="2"/>
  <c r="BA40" i="2"/>
  <c r="BA29" i="2"/>
  <c r="BA34" i="2"/>
  <c r="BA80" i="2"/>
  <c r="BA84" i="2"/>
  <c r="BA112" i="2"/>
  <c r="BA83" i="2"/>
  <c r="BA75" i="2"/>
  <c r="BA39" i="2"/>
  <c r="BA22" i="2"/>
  <c r="BA23" i="2"/>
  <c r="BA25" i="2"/>
  <c r="BA73" i="2"/>
  <c r="BA27" i="2"/>
  <c r="BA26" i="2"/>
  <c r="BA24" i="2"/>
  <c r="BA15" i="2"/>
  <c r="BA9" i="2"/>
  <c r="AZ172" i="2"/>
  <c r="AZ171" i="2"/>
  <c r="AZ170" i="2"/>
  <c r="AZ169" i="2"/>
  <c r="AZ168" i="2"/>
  <c r="AZ166" i="2"/>
  <c r="AZ165" i="2"/>
  <c r="AZ164" i="2"/>
  <c r="AZ161" i="2"/>
  <c r="AZ160" i="2"/>
  <c r="AZ158" i="2"/>
  <c r="AZ157" i="2"/>
  <c r="AZ156" i="2"/>
  <c r="AZ155" i="2"/>
  <c r="AZ153" i="2"/>
  <c r="AZ152" i="2"/>
  <c r="AZ151" i="2"/>
  <c r="AZ150" i="2"/>
  <c r="AZ149" i="2"/>
  <c r="AZ148" i="2"/>
  <c r="AZ147" i="2"/>
  <c r="AZ146" i="2"/>
  <c r="AZ145" i="2"/>
  <c r="AZ144" i="2"/>
  <c r="AZ143" i="2"/>
  <c r="AZ142" i="2"/>
  <c r="AZ141" i="2"/>
  <c r="AZ140" i="2"/>
  <c r="AZ139" i="2"/>
  <c r="AZ138" i="2"/>
  <c r="AZ137" i="2"/>
  <c r="AZ136" i="2"/>
  <c r="AZ135" i="2"/>
  <c r="AZ134" i="2"/>
  <c r="AZ132" i="2"/>
  <c r="AZ131" i="2"/>
  <c r="AZ130" i="2"/>
  <c r="AZ129" i="2"/>
  <c r="AZ128" i="2"/>
  <c r="AZ127" i="2"/>
  <c r="AZ126" i="2"/>
  <c r="AZ125" i="2"/>
  <c r="AZ124" i="2"/>
  <c r="AZ123" i="2"/>
  <c r="AZ122" i="2"/>
  <c r="AZ120" i="2"/>
  <c r="AZ119" i="2"/>
  <c r="AZ118" i="2"/>
  <c r="AZ117" i="2"/>
  <c r="AZ116" i="2"/>
  <c r="AZ115" i="2"/>
  <c r="AZ113" i="2"/>
  <c r="AZ108" i="2"/>
  <c r="AZ107" i="2"/>
  <c r="AZ102" i="2"/>
  <c r="AZ101" i="2"/>
  <c r="AZ100" i="2"/>
  <c r="AZ99" i="2"/>
  <c r="AZ98" i="2"/>
  <c r="AZ97" i="2"/>
  <c r="AZ96" i="2"/>
  <c r="AZ95" i="2"/>
  <c r="AZ94" i="2"/>
  <c r="AZ93" i="2"/>
  <c r="AZ92" i="2"/>
  <c r="AZ90" i="2"/>
  <c r="AZ89" i="2"/>
  <c r="AZ87" i="2"/>
  <c r="AZ86" i="2"/>
  <c r="AZ85" i="2"/>
  <c r="AZ82" i="2"/>
  <c r="AZ81" i="2"/>
  <c r="AZ76" i="2"/>
  <c r="AZ74" i="2"/>
  <c r="AZ72" i="2"/>
  <c r="AZ71" i="2"/>
  <c r="AZ70" i="2"/>
  <c r="AZ69" i="2"/>
  <c r="AZ68" i="2"/>
  <c r="AZ65" i="2"/>
  <c r="AZ64" i="2"/>
  <c r="AZ61" i="2"/>
  <c r="AZ60" i="2"/>
  <c r="AZ58" i="2"/>
  <c r="AZ57" i="2"/>
  <c r="AZ56" i="2"/>
  <c r="AZ55" i="2"/>
  <c r="AZ52" i="2"/>
  <c r="AZ51" i="2"/>
  <c r="AZ50" i="2"/>
  <c r="AZ48" i="2"/>
  <c r="AZ47" i="2"/>
  <c r="AZ46" i="2"/>
  <c r="AZ45" i="2"/>
  <c r="AZ43" i="2"/>
  <c r="AZ38" i="2"/>
  <c r="AZ36" i="2"/>
  <c r="AZ35" i="2"/>
  <c r="AZ32" i="2"/>
  <c r="AZ30" i="2"/>
  <c r="AZ28" i="2"/>
  <c r="AZ19" i="2"/>
  <c r="AZ18" i="2"/>
  <c r="AZ17" i="2"/>
  <c r="AZ16" i="2"/>
  <c r="AZ14" i="2"/>
  <c r="AZ13" i="2"/>
  <c r="AZ12" i="2"/>
  <c r="AZ11" i="2"/>
  <c r="AZ10" i="2"/>
  <c r="BE8" i="1" l="1" a="1"/>
  <c r="BE8" i="1" s="1"/>
  <c r="BD118" i="1"/>
  <c r="BB20" i="2"/>
  <c r="BB31" i="2"/>
  <c r="BB44" i="2"/>
  <c r="BB49" i="2"/>
  <c r="BB53" i="2"/>
  <c r="BB54" i="2"/>
  <c r="BB59" i="2"/>
  <c r="BB62" i="2"/>
  <c r="BB63" i="2"/>
  <c r="BB66" i="2"/>
  <c r="BB67" i="2"/>
  <c r="BB77" i="2"/>
  <c r="BB88" i="2"/>
  <c r="BB91" i="2"/>
  <c r="BB103" i="2"/>
  <c r="BB105" i="2"/>
  <c r="BB106" i="2"/>
  <c r="BB109" i="2"/>
  <c r="BB110" i="2"/>
  <c r="BB114" i="2"/>
  <c r="BB121" i="2"/>
  <c r="BB133" i="2"/>
  <c r="BB154" i="2"/>
  <c r="BB159" i="2"/>
  <c r="BB162" i="2"/>
  <c r="BB163" i="2"/>
  <c r="BB167" i="2"/>
  <c r="BB111" i="2"/>
  <c r="BB104" i="2"/>
  <c r="BB78" i="2"/>
  <c r="BB79" i="2"/>
  <c r="BB37" i="2"/>
  <c r="BB41" i="2"/>
  <c r="BB42" i="2"/>
  <c r="BB33" i="2"/>
  <c r="BB21" i="2"/>
  <c r="BB40" i="2"/>
  <c r="BB29" i="2"/>
  <c r="BB34" i="2"/>
  <c r="BB80" i="2"/>
  <c r="BB84" i="2"/>
  <c r="BB112" i="2"/>
  <c r="BB83" i="2"/>
  <c r="BB75" i="2"/>
  <c r="BB39" i="2"/>
  <c r="BB22" i="2"/>
  <c r="BB23" i="2"/>
  <c r="BB25" i="2"/>
  <c r="BB73" i="2"/>
  <c r="BB27" i="2"/>
  <c r="BB26" i="2"/>
  <c r="BB24" i="2"/>
  <c r="BB15" i="2"/>
  <c r="BB9" i="2"/>
  <c r="BA172" i="2"/>
  <c r="BA171" i="2"/>
  <c r="BA170" i="2"/>
  <c r="BA169" i="2"/>
  <c r="BA168" i="2"/>
  <c r="BA166" i="2"/>
  <c r="BA165" i="2"/>
  <c r="BA164" i="2"/>
  <c r="BA161" i="2"/>
  <c r="BA160" i="2"/>
  <c r="BA158" i="2"/>
  <c r="BA157" i="2"/>
  <c r="BA156" i="2"/>
  <c r="BA155" i="2"/>
  <c r="BA153" i="2"/>
  <c r="BA152" i="2"/>
  <c r="BA151" i="2"/>
  <c r="BA150" i="2"/>
  <c r="BA149" i="2"/>
  <c r="BA148" i="2"/>
  <c r="BA147" i="2"/>
  <c r="BA146" i="2"/>
  <c r="BA145" i="2"/>
  <c r="BA144" i="2"/>
  <c r="BA143" i="2"/>
  <c r="BA142" i="2"/>
  <c r="BA141" i="2"/>
  <c r="BA140" i="2"/>
  <c r="BA139" i="2"/>
  <c r="BA138" i="2"/>
  <c r="BA137" i="2"/>
  <c r="BA136" i="2"/>
  <c r="BA135" i="2"/>
  <c r="BA134" i="2"/>
  <c r="BA132" i="2"/>
  <c r="BA131" i="2"/>
  <c r="BA130" i="2"/>
  <c r="BA129" i="2"/>
  <c r="BA128" i="2"/>
  <c r="BA127" i="2"/>
  <c r="BA126" i="2"/>
  <c r="BA125" i="2"/>
  <c r="BA124" i="2"/>
  <c r="BA123" i="2"/>
  <c r="BA122" i="2"/>
  <c r="BA120" i="2"/>
  <c r="BA119" i="2"/>
  <c r="BA118" i="2"/>
  <c r="BA117" i="2"/>
  <c r="BA116" i="2"/>
  <c r="BA115" i="2"/>
  <c r="BA113" i="2"/>
  <c r="BA108" i="2"/>
  <c r="BA107" i="2"/>
  <c r="BA102" i="2"/>
  <c r="BA101" i="2"/>
  <c r="BA100" i="2"/>
  <c r="BA99" i="2"/>
  <c r="BA98" i="2"/>
  <c r="BA97" i="2"/>
  <c r="BA96" i="2"/>
  <c r="BA95" i="2"/>
  <c r="BA94" i="2"/>
  <c r="BA93" i="2"/>
  <c r="BA92" i="2"/>
  <c r="BA90" i="2"/>
  <c r="BA89" i="2"/>
  <c r="BA87" i="2"/>
  <c r="BA86" i="2"/>
  <c r="BA85" i="2"/>
  <c r="BA82" i="2"/>
  <c r="BA81" i="2"/>
  <c r="BA76" i="2"/>
  <c r="BA74" i="2"/>
  <c r="BA72" i="2"/>
  <c r="BA71" i="2"/>
  <c r="BA70" i="2"/>
  <c r="BA69" i="2"/>
  <c r="BA68" i="2"/>
  <c r="BA65" i="2"/>
  <c r="BA64" i="2"/>
  <c r="BA61" i="2"/>
  <c r="BA60" i="2"/>
  <c r="BA58" i="2"/>
  <c r="BA57" i="2"/>
  <c r="BA56" i="2"/>
  <c r="BA55" i="2"/>
  <c r="BA52" i="2"/>
  <c r="BA51" i="2"/>
  <c r="BA50" i="2"/>
  <c r="BA48" i="2"/>
  <c r="BA47" i="2"/>
  <c r="BA46" i="2"/>
  <c r="BA45" i="2"/>
  <c r="BA43" i="2"/>
  <c r="BA38" i="2"/>
  <c r="BA36" i="2"/>
  <c r="BA35" i="2"/>
  <c r="BA32" i="2"/>
  <c r="BA30" i="2"/>
  <c r="BA28" i="2"/>
  <c r="BA19" i="2"/>
  <c r="BA18" i="2"/>
  <c r="BA17" i="2"/>
  <c r="BA16" i="2"/>
  <c r="BA14" i="2"/>
  <c r="BA13" i="2"/>
  <c r="BA12" i="2"/>
  <c r="BA11" i="2"/>
  <c r="BA10" i="2"/>
  <c r="BD9" i="1"/>
  <c r="BD10" i="1"/>
  <c r="BD11" i="1"/>
  <c r="BD16" i="1"/>
  <c r="BD17" i="1"/>
  <c r="BD25" i="1"/>
  <c r="BD26" i="1"/>
  <c r="BD46" i="1"/>
  <c r="BD47" i="1"/>
  <c r="BD48" i="1"/>
  <c r="BD54" i="1"/>
  <c r="BD59" i="1"/>
  <c r="BD64" i="1"/>
  <c r="BD70" i="1"/>
  <c r="BD72" i="1"/>
  <c r="BD77" i="1"/>
  <c r="BD81" i="1"/>
  <c r="BD86" i="1"/>
  <c r="BD87" i="1"/>
  <c r="BD91" i="1"/>
  <c r="BD97" i="1"/>
  <c r="BD98" i="1"/>
  <c r="BD109" i="1"/>
  <c r="BD110" i="1"/>
  <c r="BC117" i="1"/>
  <c r="BC116" i="1"/>
  <c r="BC99" i="1"/>
  <c r="BC80" i="1"/>
  <c r="BC79" i="1"/>
  <c r="BC78" i="1"/>
  <c r="BC73" i="1"/>
  <c r="BC65" i="1"/>
  <c r="BC63" i="1"/>
  <c r="BC62" i="1"/>
  <c r="BC61" i="1"/>
  <c r="BC60" i="1"/>
  <c r="BC58" i="1"/>
  <c r="BC57" i="1"/>
  <c r="BC56" i="1"/>
  <c r="BC55" i="1"/>
  <c r="BC51" i="1"/>
  <c r="BC50" i="1"/>
  <c r="BC49" i="1"/>
  <c r="BC23" i="1"/>
  <c r="BC19" i="1"/>
  <c r="BC18" i="1"/>
  <c r="BC14" i="1"/>
  <c r="BC13" i="1"/>
  <c r="BC12" i="1"/>
  <c r="BF8" i="1" l="1" a="1"/>
  <c r="BF8" i="1" s="1"/>
  <c r="BE118" i="1"/>
  <c r="BE9" i="1"/>
  <c r="BE10" i="1"/>
  <c r="BE11" i="1"/>
  <c r="BE16" i="1"/>
  <c r="BE17" i="1"/>
  <c r="BE25" i="1"/>
  <c r="BE26" i="1"/>
  <c r="BE46" i="1"/>
  <c r="BE47" i="1"/>
  <c r="BE48" i="1"/>
  <c r="BE54" i="1"/>
  <c r="BE59" i="1"/>
  <c r="BE64" i="1"/>
  <c r="BE70" i="1"/>
  <c r="BE72" i="1"/>
  <c r="BE77" i="1"/>
  <c r="BE81" i="1"/>
  <c r="BE86" i="1"/>
  <c r="BE87" i="1"/>
  <c r="BE91" i="1"/>
  <c r="BE97" i="1"/>
  <c r="BE98" i="1"/>
  <c r="BE109" i="1"/>
  <c r="BE110" i="1"/>
  <c r="BD117" i="1"/>
  <c r="BD116" i="1"/>
  <c r="BD99" i="1"/>
  <c r="BD80" i="1"/>
  <c r="BD79" i="1"/>
  <c r="BD78" i="1"/>
  <c r="BD73" i="1"/>
  <c r="BD65" i="1"/>
  <c r="BD63" i="1"/>
  <c r="BD62" i="1"/>
  <c r="BD61" i="1"/>
  <c r="BD60" i="1"/>
  <c r="BD58" i="1"/>
  <c r="BD57" i="1"/>
  <c r="BD56" i="1"/>
  <c r="BD55" i="1"/>
  <c r="BD51" i="1"/>
  <c r="BD50" i="1"/>
  <c r="BD49" i="1"/>
  <c r="BD23" i="1"/>
  <c r="BD19" i="1"/>
  <c r="BD18" i="1"/>
  <c r="BD14" i="1"/>
  <c r="BD13" i="1"/>
  <c r="BD12" i="1"/>
  <c r="BC20" i="2"/>
  <c r="BC31" i="2"/>
  <c r="BC44" i="2"/>
  <c r="BC49" i="2"/>
  <c r="BC53" i="2"/>
  <c r="BC54" i="2"/>
  <c r="BC59" i="2"/>
  <c r="BC62" i="2"/>
  <c r="BC63" i="2"/>
  <c r="BC66" i="2"/>
  <c r="BC67" i="2"/>
  <c r="BC77" i="2"/>
  <c r="BC88" i="2"/>
  <c r="BC91" i="2"/>
  <c r="BC103" i="2"/>
  <c r="BC105" i="2"/>
  <c r="BC106" i="2"/>
  <c r="BC109" i="2"/>
  <c r="BC110" i="2"/>
  <c r="BC114" i="2"/>
  <c r="BC121" i="2"/>
  <c r="BC133" i="2"/>
  <c r="BC154" i="2"/>
  <c r="BC159" i="2"/>
  <c r="BC162" i="2"/>
  <c r="BC163" i="2"/>
  <c r="BC167" i="2"/>
  <c r="BC111" i="2"/>
  <c r="BC104" i="2"/>
  <c r="BC78" i="2"/>
  <c r="BC79" i="2"/>
  <c r="BC37" i="2"/>
  <c r="BC41" i="2"/>
  <c r="BC42" i="2"/>
  <c r="BC33" i="2"/>
  <c r="BC21" i="2"/>
  <c r="BC40" i="2"/>
  <c r="BC29" i="2"/>
  <c r="BC34" i="2"/>
  <c r="BC80" i="2"/>
  <c r="BC84" i="2"/>
  <c r="BC112" i="2"/>
  <c r="BC83" i="2"/>
  <c r="BC75" i="2"/>
  <c r="BC39" i="2"/>
  <c r="BC22" i="2"/>
  <c r="BC23" i="2"/>
  <c r="BC25" i="2"/>
  <c r="BC73" i="2"/>
  <c r="BC27" i="2"/>
  <c r="BC26" i="2"/>
  <c r="BC24" i="2"/>
  <c r="BC15" i="2"/>
  <c r="BC9" i="2"/>
  <c r="BB172" i="2"/>
  <c r="BB171" i="2"/>
  <c r="BB170" i="2"/>
  <c r="BB169" i="2"/>
  <c r="BB168" i="2"/>
  <c r="BB166" i="2"/>
  <c r="BB165" i="2"/>
  <c r="BB164" i="2"/>
  <c r="BB161" i="2"/>
  <c r="BB160" i="2"/>
  <c r="BB158" i="2"/>
  <c r="BB157" i="2"/>
  <c r="BB156" i="2"/>
  <c r="BB155" i="2"/>
  <c r="BB153" i="2"/>
  <c r="BB152" i="2"/>
  <c r="BB151" i="2"/>
  <c r="BB150" i="2"/>
  <c r="BB149" i="2"/>
  <c r="BB148" i="2"/>
  <c r="BB147" i="2"/>
  <c r="BB146" i="2"/>
  <c r="BB145" i="2"/>
  <c r="BB144" i="2"/>
  <c r="BB143" i="2"/>
  <c r="BB142" i="2"/>
  <c r="BB141" i="2"/>
  <c r="BB140" i="2"/>
  <c r="BB139" i="2"/>
  <c r="BB138" i="2"/>
  <c r="BB137" i="2"/>
  <c r="BB136" i="2"/>
  <c r="BB135" i="2"/>
  <c r="BB134" i="2"/>
  <c r="BB132" i="2"/>
  <c r="BB131" i="2"/>
  <c r="BB130" i="2"/>
  <c r="BB129" i="2"/>
  <c r="BB128" i="2"/>
  <c r="BB127" i="2"/>
  <c r="BB126" i="2"/>
  <c r="BB125" i="2"/>
  <c r="BB124" i="2"/>
  <c r="BB123" i="2"/>
  <c r="BB122" i="2"/>
  <c r="BB120" i="2"/>
  <c r="BB119" i="2"/>
  <c r="BB118" i="2"/>
  <c r="BB117" i="2"/>
  <c r="BB116" i="2"/>
  <c r="BB115" i="2"/>
  <c r="BB113" i="2"/>
  <c r="BB108" i="2"/>
  <c r="BB107" i="2"/>
  <c r="BB102" i="2"/>
  <c r="BB101" i="2"/>
  <c r="BB100" i="2"/>
  <c r="BB99" i="2"/>
  <c r="BB98" i="2"/>
  <c r="BB97" i="2"/>
  <c r="BB96" i="2"/>
  <c r="BB95" i="2"/>
  <c r="BB94" i="2"/>
  <c r="BB93" i="2"/>
  <c r="BB92" i="2"/>
  <c r="BB90" i="2"/>
  <c r="BB89" i="2"/>
  <c r="BB87" i="2"/>
  <c r="BB86" i="2"/>
  <c r="BB85" i="2"/>
  <c r="BB82" i="2"/>
  <c r="BB81" i="2"/>
  <c r="BB76" i="2"/>
  <c r="BB74" i="2"/>
  <c r="BB72" i="2"/>
  <c r="BB71" i="2"/>
  <c r="BB70" i="2"/>
  <c r="BB69" i="2"/>
  <c r="BB68" i="2"/>
  <c r="BB65" i="2"/>
  <c r="BB64" i="2"/>
  <c r="BB61" i="2"/>
  <c r="BB60" i="2"/>
  <c r="BB58" i="2"/>
  <c r="BB57" i="2"/>
  <c r="BB56" i="2"/>
  <c r="BB55" i="2"/>
  <c r="BB52" i="2"/>
  <c r="BB51" i="2"/>
  <c r="BB50" i="2"/>
  <c r="BB48" i="2"/>
  <c r="BB47" i="2"/>
  <c r="BB46" i="2"/>
  <c r="BB45" i="2"/>
  <c r="BB43" i="2"/>
  <c r="BB38" i="2"/>
  <c r="BB36" i="2"/>
  <c r="BB35" i="2"/>
  <c r="BB32" i="2"/>
  <c r="BB30" i="2"/>
  <c r="BB28" i="2"/>
  <c r="BB19" i="2"/>
  <c r="BB18" i="2"/>
  <c r="BB17" i="2"/>
  <c r="BB16" i="2"/>
  <c r="BB14" i="2"/>
  <c r="BB13" i="2"/>
  <c r="BB12" i="2"/>
  <c r="BB11" i="2"/>
  <c r="BB10" i="2"/>
  <c r="BG8" i="1" l="1" a="1"/>
  <c r="BG8" i="1" s="1"/>
  <c r="BF118" i="1"/>
  <c r="BD20" i="2"/>
  <c r="BD31" i="2"/>
  <c r="BD44" i="2"/>
  <c r="BD49" i="2"/>
  <c r="BD53" i="2"/>
  <c r="BD54" i="2"/>
  <c r="BD59" i="2"/>
  <c r="BD62" i="2"/>
  <c r="BD63" i="2"/>
  <c r="BD66" i="2"/>
  <c r="BD67" i="2"/>
  <c r="BD77" i="2"/>
  <c r="BD88" i="2"/>
  <c r="BD91" i="2"/>
  <c r="BD103" i="2"/>
  <c r="BD105" i="2"/>
  <c r="BD106" i="2"/>
  <c r="BD109" i="2"/>
  <c r="BD110" i="2"/>
  <c r="BD114" i="2"/>
  <c r="BD121" i="2"/>
  <c r="BD133" i="2"/>
  <c r="BD154" i="2"/>
  <c r="BD159" i="2"/>
  <c r="BD162" i="2"/>
  <c r="BD163" i="2"/>
  <c r="BD167" i="2"/>
  <c r="BD111" i="2"/>
  <c r="BD104" i="2"/>
  <c r="BD78" i="2"/>
  <c r="BD79" i="2"/>
  <c r="BD37" i="2"/>
  <c r="BD41" i="2"/>
  <c r="BD42" i="2"/>
  <c r="BD33" i="2"/>
  <c r="BD21" i="2"/>
  <c r="BD40" i="2"/>
  <c r="BD29" i="2"/>
  <c r="BD34" i="2"/>
  <c r="BD80" i="2"/>
  <c r="BD84" i="2"/>
  <c r="BD112" i="2"/>
  <c r="BD83" i="2"/>
  <c r="BD75" i="2"/>
  <c r="BD39" i="2"/>
  <c r="BD22" i="2"/>
  <c r="BD23" i="2"/>
  <c r="BD25" i="2"/>
  <c r="BD73" i="2"/>
  <c r="BD27" i="2"/>
  <c r="BD26" i="2"/>
  <c r="BD24" i="2"/>
  <c r="BD15" i="2"/>
  <c r="BD9" i="2"/>
  <c r="BC172" i="2"/>
  <c r="BC171" i="2"/>
  <c r="BC170" i="2"/>
  <c r="BC169" i="2"/>
  <c r="BC168" i="2"/>
  <c r="BC166" i="2"/>
  <c r="BC165" i="2"/>
  <c r="BC164" i="2"/>
  <c r="BC161" i="2"/>
  <c r="BC160" i="2"/>
  <c r="BC158" i="2"/>
  <c r="BC157" i="2"/>
  <c r="BC156" i="2"/>
  <c r="BC155" i="2"/>
  <c r="BC153" i="2"/>
  <c r="BC152" i="2"/>
  <c r="BC151" i="2"/>
  <c r="BC150" i="2"/>
  <c r="BC149" i="2"/>
  <c r="BC148" i="2"/>
  <c r="BC147" i="2"/>
  <c r="BC146" i="2"/>
  <c r="BC145" i="2"/>
  <c r="BC144" i="2"/>
  <c r="BC143" i="2"/>
  <c r="BC142" i="2"/>
  <c r="BC141" i="2"/>
  <c r="BC140" i="2"/>
  <c r="BC139" i="2"/>
  <c r="BC138" i="2"/>
  <c r="BC137" i="2"/>
  <c r="BC136" i="2"/>
  <c r="BC135" i="2"/>
  <c r="BC134" i="2"/>
  <c r="BC132" i="2"/>
  <c r="BC131" i="2"/>
  <c r="BC130" i="2"/>
  <c r="BC129" i="2"/>
  <c r="BC128" i="2"/>
  <c r="BC127" i="2"/>
  <c r="BC126" i="2"/>
  <c r="BC125" i="2"/>
  <c r="BC124" i="2"/>
  <c r="BC123" i="2"/>
  <c r="BC122" i="2"/>
  <c r="BC120" i="2"/>
  <c r="BC119" i="2"/>
  <c r="BC118" i="2"/>
  <c r="BC117" i="2"/>
  <c r="BC116" i="2"/>
  <c r="BC115" i="2"/>
  <c r="BC113" i="2"/>
  <c r="BC108" i="2"/>
  <c r="BC107" i="2"/>
  <c r="BC102" i="2"/>
  <c r="BC101" i="2"/>
  <c r="BC100" i="2"/>
  <c r="BC99" i="2"/>
  <c r="BC98" i="2"/>
  <c r="BC97" i="2"/>
  <c r="BC96" i="2"/>
  <c r="BC95" i="2"/>
  <c r="BC94" i="2"/>
  <c r="BC93" i="2"/>
  <c r="BC92" i="2"/>
  <c r="BC90" i="2"/>
  <c r="BC89" i="2"/>
  <c r="BC87" i="2"/>
  <c r="BC86" i="2"/>
  <c r="BC85" i="2"/>
  <c r="BC82" i="2"/>
  <c r="BC81" i="2"/>
  <c r="BC76" i="2"/>
  <c r="BC74" i="2"/>
  <c r="BC72" i="2"/>
  <c r="BC71" i="2"/>
  <c r="BC70" i="2"/>
  <c r="BC69" i="2"/>
  <c r="BC68" i="2"/>
  <c r="BC65" i="2"/>
  <c r="BC64" i="2"/>
  <c r="BC61" i="2"/>
  <c r="BC60" i="2"/>
  <c r="BC58" i="2"/>
  <c r="BC57" i="2"/>
  <c r="BC56" i="2"/>
  <c r="BC55" i="2"/>
  <c r="BC52" i="2"/>
  <c r="BC51" i="2"/>
  <c r="BC50" i="2"/>
  <c r="BC48" i="2"/>
  <c r="BC47" i="2"/>
  <c r="BC46" i="2"/>
  <c r="BC45" i="2"/>
  <c r="BC43" i="2"/>
  <c r="BC38" i="2"/>
  <c r="BC36" i="2"/>
  <c r="BC35" i="2"/>
  <c r="BC32" i="2"/>
  <c r="BC30" i="2"/>
  <c r="BC28" i="2"/>
  <c r="BC19" i="2"/>
  <c r="BC18" i="2"/>
  <c r="BC17" i="2"/>
  <c r="BC16" i="2"/>
  <c r="BC14" i="2"/>
  <c r="BC13" i="2"/>
  <c r="BC12" i="2"/>
  <c r="BC11" i="2"/>
  <c r="BC10" i="2"/>
  <c r="BF9" i="1"/>
  <c r="BF10" i="1"/>
  <c r="BF11" i="1"/>
  <c r="BF16" i="1"/>
  <c r="BF17" i="1"/>
  <c r="BF25" i="1"/>
  <c r="BF26" i="1"/>
  <c r="BF46" i="1"/>
  <c r="BF47" i="1"/>
  <c r="BF48" i="1"/>
  <c r="BF54" i="1"/>
  <c r="BF59" i="1"/>
  <c r="BF64" i="1"/>
  <c r="BF70" i="1"/>
  <c r="BF72" i="1"/>
  <c r="BF77" i="1"/>
  <c r="BF81" i="1"/>
  <c r="BF86" i="1"/>
  <c r="BF87" i="1"/>
  <c r="BF91" i="1"/>
  <c r="BF97" i="1"/>
  <c r="BF98" i="1"/>
  <c r="BF109" i="1"/>
  <c r="BF110" i="1"/>
  <c r="BE117" i="1"/>
  <c r="BE116" i="1"/>
  <c r="BE99" i="1"/>
  <c r="BE80" i="1"/>
  <c r="BE79" i="1"/>
  <c r="BE78" i="1"/>
  <c r="BE73" i="1"/>
  <c r="BE65" i="1"/>
  <c r="BE63" i="1"/>
  <c r="BE62" i="1"/>
  <c r="BE61" i="1"/>
  <c r="BE60" i="1"/>
  <c r="BE58" i="1"/>
  <c r="BE57" i="1"/>
  <c r="BE56" i="1"/>
  <c r="BE55" i="1"/>
  <c r="BE51" i="1"/>
  <c r="BE50" i="1"/>
  <c r="BE49" i="1"/>
  <c r="BE23" i="1"/>
  <c r="BE19" i="1"/>
  <c r="BE18" i="1"/>
  <c r="BE14" i="1"/>
  <c r="BE13" i="1"/>
  <c r="BE12" i="1"/>
  <c r="BH8" i="1" l="1" a="1"/>
  <c r="BH8" i="1" s="1"/>
  <c r="BG118" i="1"/>
  <c r="BG9" i="1"/>
  <c r="BG10" i="1"/>
  <c r="BG11" i="1"/>
  <c r="BG16" i="1"/>
  <c r="BG17" i="1"/>
  <c r="BG25" i="1"/>
  <c r="BG26" i="1"/>
  <c r="BG46" i="1"/>
  <c r="BG47" i="1"/>
  <c r="BG48" i="1"/>
  <c r="BG54" i="1"/>
  <c r="BG59" i="1"/>
  <c r="BG64" i="1"/>
  <c r="BG70" i="1"/>
  <c r="BG72" i="1"/>
  <c r="BG77" i="1"/>
  <c r="BG81" i="1"/>
  <c r="BG86" i="1"/>
  <c r="BG87" i="1"/>
  <c r="BG91" i="1"/>
  <c r="BG97" i="1"/>
  <c r="BG98" i="1"/>
  <c r="BG109" i="1"/>
  <c r="BG110" i="1"/>
  <c r="BF117" i="1"/>
  <c r="BF116" i="1"/>
  <c r="BF99" i="1"/>
  <c r="BF80" i="1"/>
  <c r="BF79" i="1"/>
  <c r="BF78" i="1"/>
  <c r="BF73" i="1"/>
  <c r="BF65" i="1"/>
  <c r="BF63" i="1"/>
  <c r="BF62" i="1"/>
  <c r="BF61" i="1"/>
  <c r="BF60" i="1"/>
  <c r="BF58" i="1"/>
  <c r="BF57" i="1"/>
  <c r="BF56" i="1"/>
  <c r="BF55" i="1"/>
  <c r="BF51" i="1"/>
  <c r="BF50" i="1"/>
  <c r="BF49" i="1"/>
  <c r="BF23" i="1"/>
  <c r="BF19" i="1"/>
  <c r="BF18" i="1"/>
  <c r="BF14" i="1"/>
  <c r="BF13" i="1"/>
  <c r="BF12" i="1"/>
  <c r="BE20" i="2"/>
  <c r="BE31" i="2"/>
  <c r="BE44" i="2"/>
  <c r="BE49" i="2"/>
  <c r="BE53" i="2"/>
  <c r="BE54" i="2"/>
  <c r="BE59" i="2"/>
  <c r="BE62" i="2"/>
  <c r="BE63" i="2"/>
  <c r="BE66" i="2"/>
  <c r="BE67" i="2"/>
  <c r="BE77" i="2"/>
  <c r="BE88" i="2"/>
  <c r="BE91" i="2"/>
  <c r="BE103" i="2"/>
  <c r="BE105" i="2"/>
  <c r="BE106" i="2"/>
  <c r="BE109" i="2"/>
  <c r="BE110" i="2"/>
  <c r="BE114" i="2"/>
  <c r="BE121" i="2"/>
  <c r="BE133" i="2"/>
  <c r="BE154" i="2"/>
  <c r="BE159" i="2"/>
  <c r="BE162" i="2"/>
  <c r="BE163" i="2"/>
  <c r="BE167" i="2"/>
  <c r="BE111" i="2"/>
  <c r="BE104" i="2"/>
  <c r="BE78" i="2"/>
  <c r="BE79" i="2"/>
  <c r="BE37" i="2"/>
  <c r="BE41" i="2"/>
  <c r="BE42" i="2"/>
  <c r="BE33" i="2"/>
  <c r="BE21" i="2"/>
  <c r="BE40" i="2"/>
  <c r="BE29" i="2"/>
  <c r="BE34" i="2"/>
  <c r="BE80" i="2"/>
  <c r="BE84" i="2"/>
  <c r="BE112" i="2"/>
  <c r="BE83" i="2"/>
  <c r="BE75" i="2"/>
  <c r="BE39" i="2"/>
  <c r="BE22" i="2"/>
  <c r="BE23" i="2"/>
  <c r="BE25" i="2"/>
  <c r="BE73" i="2"/>
  <c r="BE27" i="2"/>
  <c r="BE26" i="2"/>
  <c r="BE24" i="2"/>
  <c r="BE15" i="2"/>
  <c r="BE9" i="2"/>
  <c r="BD172" i="2"/>
  <c r="BD171" i="2"/>
  <c r="BD170" i="2"/>
  <c r="BD169" i="2"/>
  <c r="BD168" i="2"/>
  <c r="BD166" i="2"/>
  <c r="BD165" i="2"/>
  <c r="BD164" i="2"/>
  <c r="BD161" i="2"/>
  <c r="BD160" i="2"/>
  <c r="BD158" i="2"/>
  <c r="BD157" i="2"/>
  <c r="BD156" i="2"/>
  <c r="BD155" i="2"/>
  <c r="BD153" i="2"/>
  <c r="BD152" i="2"/>
  <c r="BD151" i="2"/>
  <c r="BD150" i="2"/>
  <c r="BD149" i="2"/>
  <c r="BD148" i="2"/>
  <c r="BD147" i="2"/>
  <c r="BD146" i="2"/>
  <c r="BD145" i="2"/>
  <c r="BD144" i="2"/>
  <c r="BD143" i="2"/>
  <c r="BD142" i="2"/>
  <c r="BD141" i="2"/>
  <c r="BD140" i="2"/>
  <c r="BD139" i="2"/>
  <c r="BD138" i="2"/>
  <c r="BD137" i="2"/>
  <c r="BD136" i="2"/>
  <c r="BD135" i="2"/>
  <c r="BD134" i="2"/>
  <c r="BD132" i="2"/>
  <c r="BD131" i="2"/>
  <c r="BD130" i="2"/>
  <c r="BD129" i="2"/>
  <c r="BD128" i="2"/>
  <c r="BD127" i="2"/>
  <c r="BD126" i="2"/>
  <c r="BD125" i="2"/>
  <c r="BD124" i="2"/>
  <c r="BD123" i="2"/>
  <c r="BD122" i="2"/>
  <c r="BD120" i="2"/>
  <c r="BD119" i="2"/>
  <c r="BD118" i="2"/>
  <c r="BD117" i="2"/>
  <c r="BD116" i="2"/>
  <c r="BD115" i="2"/>
  <c r="BD113" i="2"/>
  <c r="BD108" i="2"/>
  <c r="BD107" i="2"/>
  <c r="BD102" i="2"/>
  <c r="BD101" i="2"/>
  <c r="BD100" i="2"/>
  <c r="BD99" i="2"/>
  <c r="BD98" i="2"/>
  <c r="BD97" i="2"/>
  <c r="BD96" i="2"/>
  <c r="BD95" i="2"/>
  <c r="BD94" i="2"/>
  <c r="BD93" i="2"/>
  <c r="BD92" i="2"/>
  <c r="BD90" i="2"/>
  <c r="BD89" i="2"/>
  <c r="BD87" i="2"/>
  <c r="BD86" i="2"/>
  <c r="BD85" i="2"/>
  <c r="BD82" i="2"/>
  <c r="BD81" i="2"/>
  <c r="BD76" i="2"/>
  <c r="BD74" i="2"/>
  <c r="BD72" i="2"/>
  <c r="BD71" i="2"/>
  <c r="BD70" i="2"/>
  <c r="BD69" i="2"/>
  <c r="BD68" i="2"/>
  <c r="BD65" i="2"/>
  <c r="BD64" i="2"/>
  <c r="BD61" i="2"/>
  <c r="BD60" i="2"/>
  <c r="BD58" i="2"/>
  <c r="BD57" i="2"/>
  <c r="BD56" i="2"/>
  <c r="BD55" i="2"/>
  <c r="BD52" i="2"/>
  <c r="BD51" i="2"/>
  <c r="BD50" i="2"/>
  <c r="BD48" i="2"/>
  <c r="BD47" i="2"/>
  <c r="BD46" i="2"/>
  <c r="BD45" i="2"/>
  <c r="BD43" i="2"/>
  <c r="BD38" i="2"/>
  <c r="BD36" i="2"/>
  <c r="BD35" i="2"/>
  <c r="BD32" i="2"/>
  <c r="BD30" i="2"/>
  <c r="BD28" i="2"/>
  <c r="BD19" i="2"/>
  <c r="BD18" i="2"/>
  <c r="BD17" i="2"/>
  <c r="BD16" i="2"/>
  <c r="BD14" i="2"/>
  <c r="BD13" i="2"/>
  <c r="BD12" i="2"/>
  <c r="BD11" i="2"/>
  <c r="BD10" i="2"/>
  <c r="BI8" i="1" l="1" a="1"/>
  <c r="BI8" i="1" s="1"/>
  <c r="BH118" i="1"/>
  <c r="BF20" i="2"/>
  <c r="BF31" i="2"/>
  <c r="BF44" i="2"/>
  <c r="BF49" i="2"/>
  <c r="BF53" i="2"/>
  <c r="BF54" i="2"/>
  <c r="BF59" i="2"/>
  <c r="BF62" i="2"/>
  <c r="BF63" i="2"/>
  <c r="BF66" i="2"/>
  <c r="BF67" i="2"/>
  <c r="BF77" i="2"/>
  <c r="BF88" i="2"/>
  <c r="BF91" i="2"/>
  <c r="BF103" i="2"/>
  <c r="BF105" i="2"/>
  <c r="BF106" i="2"/>
  <c r="BF109" i="2"/>
  <c r="BF110" i="2"/>
  <c r="BF114" i="2"/>
  <c r="BF121" i="2"/>
  <c r="BF133" i="2"/>
  <c r="BF154" i="2"/>
  <c r="BF159" i="2"/>
  <c r="BF162" i="2"/>
  <c r="BF163" i="2"/>
  <c r="BF167" i="2"/>
  <c r="BF111" i="2"/>
  <c r="BF104" i="2"/>
  <c r="BF78" i="2"/>
  <c r="BF79" i="2"/>
  <c r="BF37" i="2"/>
  <c r="BF41" i="2"/>
  <c r="BF42" i="2"/>
  <c r="BF33" i="2"/>
  <c r="BF21" i="2"/>
  <c r="BF40" i="2"/>
  <c r="BF29" i="2"/>
  <c r="BF34" i="2"/>
  <c r="BF80" i="2"/>
  <c r="BF84" i="2"/>
  <c r="BF112" i="2"/>
  <c r="BF83" i="2"/>
  <c r="BF75" i="2"/>
  <c r="BF39" i="2"/>
  <c r="BF22" i="2"/>
  <c r="BF23" i="2"/>
  <c r="BF25" i="2"/>
  <c r="BF73" i="2"/>
  <c r="BF27" i="2"/>
  <c r="BF26" i="2"/>
  <c r="BF24" i="2"/>
  <c r="BF15" i="2"/>
  <c r="BF9" i="2"/>
  <c r="BE172" i="2"/>
  <c r="BE171" i="2"/>
  <c r="BE170" i="2"/>
  <c r="BE169" i="2"/>
  <c r="BE168" i="2"/>
  <c r="BE166" i="2"/>
  <c r="BE165" i="2"/>
  <c r="BE164" i="2"/>
  <c r="BE161" i="2"/>
  <c r="BE160" i="2"/>
  <c r="BE158" i="2"/>
  <c r="BE157" i="2"/>
  <c r="BE156" i="2"/>
  <c r="BE155" i="2"/>
  <c r="BE153" i="2"/>
  <c r="BE152" i="2"/>
  <c r="BE151" i="2"/>
  <c r="BE150" i="2"/>
  <c r="BE149" i="2"/>
  <c r="BE148" i="2"/>
  <c r="BE147" i="2"/>
  <c r="BE146" i="2"/>
  <c r="BE145" i="2"/>
  <c r="BE144" i="2"/>
  <c r="BE143" i="2"/>
  <c r="BE142" i="2"/>
  <c r="BE141" i="2"/>
  <c r="BE140" i="2"/>
  <c r="BE139" i="2"/>
  <c r="BE138" i="2"/>
  <c r="BE137" i="2"/>
  <c r="BE136" i="2"/>
  <c r="BE135" i="2"/>
  <c r="BE134" i="2"/>
  <c r="BE132" i="2"/>
  <c r="BE131" i="2"/>
  <c r="BE130" i="2"/>
  <c r="BE129" i="2"/>
  <c r="BE128" i="2"/>
  <c r="BE127" i="2"/>
  <c r="BE126" i="2"/>
  <c r="BE125" i="2"/>
  <c r="BE124" i="2"/>
  <c r="BE123" i="2"/>
  <c r="BE122" i="2"/>
  <c r="BE120" i="2"/>
  <c r="BE119" i="2"/>
  <c r="BE118" i="2"/>
  <c r="BE117" i="2"/>
  <c r="BE116" i="2"/>
  <c r="BE115" i="2"/>
  <c r="BE113" i="2"/>
  <c r="BE108" i="2"/>
  <c r="BE107" i="2"/>
  <c r="BE102" i="2"/>
  <c r="BE101" i="2"/>
  <c r="BE100" i="2"/>
  <c r="BE99" i="2"/>
  <c r="BE98" i="2"/>
  <c r="BE97" i="2"/>
  <c r="BE96" i="2"/>
  <c r="BE95" i="2"/>
  <c r="BE94" i="2"/>
  <c r="BE93" i="2"/>
  <c r="BE92" i="2"/>
  <c r="BE90" i="2"/>
  <c r="BE89" i="2"/>
  <c r="BE87" i="2"/>
  <c r="BE86" i="2"/>
  <c r="BE85" i="2"/>
  <c r="BE82" i="2"/>
  <c r="BE81" i="2"/>
  <c r="BE76" i="2"/>
  <c r="BE74" i="2"/>
  <c r="BE72" i="2"/>
  <c r="BE71" i="2"/>
  <c r="BE70" i="2"/>
  <c r="BE69" i="2"/>
  <c r="BE68" i="2"/>
  <c r="BE65" i="2"/>
  <c r="BE64" i="2"/>
  <c r="BE61" i="2"/>
  <c r="BE60" i="2"/>
  <c r="BE58" i="2"/>
  <c r="BE57" i="2"/>
  <c r="BE56" i="2"/>
  <c r="BE55" i="2"/>
  <c r="BE52" i="2"/>
  <c r="BE51" i="2"/>
  <c r="BE50" i="2"/>
  <c r="BE48" i="2"/>
  <c r="BE47" i="2"/>
  <c r="BE46" i="2"/>
  <c r="BE45" i="2"/>
  <c r="BE43" i="2"/>
  <c r="BE38" i="2"/>
  <c r="BE36" i="2"/>
  <c r="BE35" i="2"/>
  <c r="BE32" i="2"/>
  <c r="BE30" i="2"/>
  <c r="BE28" i="2"/>
  <c r="BE19" i="2"/>
  <c r="BE18" i="2"/>
  <c r="BE17" i="2"/>
  <c r="BE16" i="2"/>
  <c r="BE14" i="2"/>
  <c r="BE13" i="2"/>
  <c r="BE12" i="2"/>
  <c r="BE11" i="2"/>
  <c r="BE10" i="2"/>
  <c r="BH9" i="1"/>
  <c r="BH10" i="1"/>
  <c r="BH11" i="1"/>
  <c r="BH16" i="1"/>
  <c r="BH17" i="1"/>
  <c r="BH25" i="1"/>
  <c r="BH26" i="1"/>
  <c r="BH46" i="1"/>
  <c r="BH47" i="1"/>
  <c r="BH48" i="1"/>
  <c r="BH54" i="1"/>
  <c r="BH59" i="1"/>
  <c r="BH64" i="1"/>
  <c r="BH70" i="1"/>
  <c r="BH72" i="1"/>
  <c r="BH77" i="1"/>
  <c r="BH81" i="1"/>
  <c r="BH86" i="1"/>
  <c r="BH87" i="1"/>
  <c r="BH91" i="1"/>
  <c r="BH97" i="1"/>
  <c r="BH98" i="1"/>
  <c r="BH109" i="1"/>
  <c r="BH110" i="1"/>
  <c r="BG117" i="1"/>
  <c r="BG116" i="1"/>
  <c r="BG99" i="1"/>
  <c r="BG80" i="1"/>
  <c r="BG79" i="1"/>
  <c r="BG78" i="1"/>
  <c r="BG73" i="1"/>
  <c r="BG65" i="1"/>
  <c r="BG63" i="1"/>
  <c r="BG62" i="1"/>
  <c r="BG61" i="1"/>
  <c r="BG60" i="1"/>
  <c r="BG58" i="1"/>
  <c r="BG57" i="1"/>
  <c r="BG56" i="1"/>
  <c r="BG55" i="1"/>
  <c r="BG51" i="1"/>
  <c r="BG50" i="1"/>
  <c r="BG49" i="1"/>
  <c r="BG23" i="1"/>
  <c r="BG19" i="1"/>
  <c r="BG18" i="1"/>
  <c r="BG14" i="1"/>
  <c r="BG13" i="1"/>
  <c r="BG12" i="1"/>
  <c r="BJ8" i="1" l="1" a="1"/>
  <c r="BJ8" i="1" s="1"/>
  <c r="BI118" i="1"/>
  <c r="BI9" i="1"/>
  <c r="BI10" i="1"/>
  <c r="BI11" i="1"/>
  <c r="BI16" i="1"/>
  <c r="BI17" i="1"/>
  <c r="BI25" i="1"/>
  <c r="BI26" i="1"/>
  <c r="BI46" i="1"/>
  <c r="BI47" i="1"/>
  <c r="BI48" i="1"/>
  <c r="BI54" i="1"/>
  <c r="BI59" i="1"/>
  <c r="BI64" i="1"/>
  <c r="BI70" i="1"/>
  <c r="BI72" i="1"/>
  <c r="BI77" i="1"/>
  <c r="BI81" i="1"/>
  <c r="BI86" i="1"/>
  <c r="BI87" i="1"/>
  <c r="BI91" i="1"/>
  <c r="BI97" i="1"/>
  <c r="BI98" i="1"/>
  <c r="BI109" i="1"/>
  <c r="BI110" i="1"/>
  <c r="BH117" i="1"/>
  <c r="BH116" i="1"/>
  <c r="BH99" i="1"/>
  <c r="BH80" i="1"/>
  <c r="BH79" i="1"/>
  <c r="BH78" i="1"/>
  <c r="BH73" i="1"/>
  <c r="BH65" i="1"/>
  <c r="BH63" i="1"/>
  <c r="BH62" i="1"/>
  <c r="BH61" i="1"/>
  <c r="BH60" i="1"/>
  <c r="BH58" i="1"/>
  <c r="BH57" i="1"/>
  <c r="BH56" i="1"/>
  <c r="BH55" i="1"/>
  <c r="BH51" i="1"/>
  <c r="BH50" i="1"/>
  <c r="BH49" i="1"/>
  <c r="BH23" i="1"/>
  <c r="BH19" i="1"/>
  <c r="BH18" i="1"/>
  <c r="BH14" i="1"/>
  <c r="BH13" i="1"/>
  <c r="BH12" i="1"/>
  <c r="BG20" i="2"/>
  <c r="BG31" i="2"/>
  <c r="BG44" i="2"/>
  <c r="BG49" i="2"/>
  <c r="BG53" i="2"/>
  <c r="BG54" i="2"/>
  <c r="BG59" i="2"/>
  <c r="BG62" i="2"/>
  <c r="BG63" i="2"/>
  <c r="BG66" i="2"/>
  <c r="BG67" i="2"/>
  <c r="BG77" i="2"/>
  <c r="BG88" i="2"/>
  <c r="BG91" i="2"/>
  <c r="BG103" i="2"/>
  <c r="BG105" i="2"/>
  <c r="BG106" i="2"/>
  <c r="BG109" i="2"/>
  <c r="BG110" i="2"/>
  <c r="BG114" i="2"/>
  <c r="BG121" i="2"/>
  <c r="BG133" i="2"/>
  <c r="BG154" i="2"/>
  <c r="BG159" i="2"/>
  <c r="BG162" i="2"/>
  <c r="BG163" i="2"/>
  <c r="BG167" i="2"/>
  <c r="BG111" i="2"/>
  <c r="BG104" i="2"/>
  <c r="BG78" i="2"/>
  <c r="BG79" i="2"/>
  <c r="BG37" i="2"/>
  <c r="BG41" i="2"/>
  <c r="BG42" i="2"/>
  <c r="BG33" i="2"/>
  <c r="BG21" i="2"/>
  <c r="BG40" i="2"/>
  <c r="BG29" i="2"/>
  <c r="BG34" i="2"/>
  <c r="BG80" i="2"/>
  <c r="BG84" i="2"/>
  <c r="BG112" i="2"/>
  <c r="BG83" i="2"/>
  <c r="BG75" i="2"/>
  <c r="BG39" i="2"/>
  <c r="BG22" i="2"/>
  <c r="BG23" i="2"/>
  <c r="BG25" i="2"/>
  <c r="BG73" i="2"/>
  <c r="BG27" i="2"/>
  <c r="BG26" i="2"/>
  <c r="BG24" i="2"/>
  <c r="BG15" i="2"/>
  <c r="BG9" i="2"/>
  <c r="BF172" i="2"/>
  <c r="BF171" i="2"/>
  <c r="BF170" i="2"/>
  <c r="BF169" i="2"/>
  <c r="BF168" i="2"/>
  <c r="BF166" i="2"/>
  <c r="BF165" i="2"/>
  <c r="BF164" i="2"/>
  <c r="BF161" i="2"/>
  <c r="BF160" i="2"/>
  <c r="BF158" i="2"/>
  <c r="BF157" i="2"/>
  <c r="BF156" i="2"/>
  <c r="BF155" i="2"/>
  <c r="BF153" i="2"/>
  <c r="BF152" i="2"/>
  <c r="BF151" i="2"/>
  <c r="BF150" i="2"/>
  <c r="BF149" i="2"/>
  <c r="BF148" i="2"/>
  <c r="BF147" i="2"/>
  <c r="BF146" i="2"/>
  <c r="BF145" i="2"/>
  <c r="BF144" i="2"/>
  <c r="BF143" i="2"/>
  <c r="BF142" i="2"/>
  <c r="BF141" i="2"/>
  <c r="BF140" i="2"/>
  <c r="BF139" i="2"/>
  <c r="BF138" i="2"/>
  <c r="BF137" i="2"/>
  <c r="BF136" i="2"/>
  <c r="BF135" i="2"/>
  <c r="BF134" i="2"/>
  <c r="BF132" i="2"/>
  <c r="BF131" i="2"/>
  <c r="BF130" i="2"/>
  <c r="BF129" i="2"/>
  <c r="BF128" i="2"/>
  <c r="BF127" i="2"/>
  <c r="BF126" i="2"/>
  <c r="BF125" i="2"/>
  <c r="BF124" i="2"/>
  <c r="BF123" i="2"/>
  <c r="BF122" i="2"/>
  <c r="BF120" i="2"/>
  <c r="BF119" i="2"/>
  <c r="BF118" i="2"/>
  <c r="BF117" i="2"/>
  <c r="BF116" i="2"/>
  <c r="BF115" i="2"/>
  <c r="BF113" i="2"/>
  <c r="BF108" i="2"/>
  <c r="BF107" i="2"/>
  <c r="BF102" i="2"/>
  <c r="BF101" i="2"/>
  <c r="BF100" i="2"/>
  <c r="BF99" i="2"/>
  <c r="BF98" i="2"/>
  <c r="BF97" i="2"/>
  <c r="BF96" i="2"/>
  <c r="BF95" i="2"/>
  <c r="BF94" i="2"/>
  <c r="BF93" i="2"/>
  <c r="BF92" i="2"/>
  <c r="BF90" i="2"/>
  <c r="BF89" i="2"/>
  <c r="BF87" i="2"/>
  <c r="BF86" i="2"/>
  <c r="BF85" i="2"/>
  <c r="BF82" i="2"/>
  <c r="BF81" i="2"/>
  <c r="BF76" i="2"/>
  <c r="BF74" i="2"/>
  <c r="BF72" i="2"/>
  <c r="BF71" i="2"/>
  <c r="BF70" i="2"/>
  <c r="BF69" i="2"/>
  <c r="BF68" i="2"/>
  <c r="BF65" i="2"/>
  <c r="BF64" i="2"/>
  <c r="BF61" i="2"/>
  <c r="BF60" i="2"/>
  <c r="BF58" i="2"/>
  <c r="BF57" i="2"/>
  <c r="BF56" i="2"/>
  <c r="BF55" i="2"/>
  <c r="BF52" i="2"/>
  <c r="BF51" i="2"/>
  <c r="BF50" i="2"/>
  <c r="BF48" i="2"/>
  <c r="BF47" i="2"/>
  <c r="BF46" i="2"/>
  <c r="BF45" i="2"/>
  <c r="BF43" i="2"/>
  <c r="BF38" i="2"/>
  <c r="BF36" i="2"/>
  <c r="BF35" i="2"/>
  <c r="BF32" i="2"/>
  <c r="BF30" i="2"/>
  <c r="BF28" i="2"/>
  <c r="BF19" i="2"/>
  <c r="BF18" i="2"/>
  <c r="BF17" i="2"/>
  <c r="BF16" i="2"/>
  <c r="BF14" i="2"/>
  <c r="BF13" i="2"/>
  <c r="BF12" i="2"/>
  <c r="BF11" i="2"/>
  <c r="BF10" i="2"/>
  <c r="BK8" i="1" l="1" a="1"/>
  <c r="BK8" i="1" s="1"/>
  <c r="BJ118" i="1"/>
  <c r="BH20" i="2"/>
  <c r="BH31" i="2"/>
  <c r="BH44" i="2"/>
  <c r="BH49" i="2"/>
  <c r="BH53" i="2"/>
  <c r="BH54" i="2"/>
  <c r="BH59" i="2"/>
  <c r="BH62" i="2"/>
  <c r="BH63" i="2"/>
  <c r="BH66" i="2"/>
  <c r="BH67" i="2"/>
  <c r="BH77" i="2"/>
  <c r="BH88" i="2"/>
  <c r="BH91" i="2"/>
  <c r="BH103" i="2"/>
  <c r="BH105" i="2"/>
  <c r="BH106" i="2"/>
  <c r="BH109" i="2"/>
  <c r="BH110" i="2"/>
  <c r="BH114" i="2"/>
  <c r="BH121" i="2"/>
  <c r="BH133" i="2"/>
  <c r="BH154" i="2"/>
  <c r="BH159" i="2"/>
  <c r="BH162" i="2"/>
  <c r="BH163" i="2"/>
  <c r="BH167" i="2"/>
  <c r="BH111" i="2"/>
  <c r="BH104" i="2"/>
  <c r="BH78" i="2"/>
  <c r="BH79" i="2"/>
  <c r="BH37" i="2"/>
  <c r="BH41" i="2"/>
  <c r="BH42" i="2"/>
  <c r="BH33" i="2"/>
  <c r="BH21" i="2"/>
  <c r="BH40" i="2"/>
  <c r="BH29" i="2"/>
  <c r="BH34" i="2"/>
  <c r="BH80" i="2"/>
  <c r="BH84" i="2"/>
  <c r="BH112" i="2"/>
  <c r="BH83" i="2"/>
  <c r="BH75" i="2"/>
  <c r="BH39" i="2"/>
  <c r="BH22" i="2"/>
  <c r="BH23" i="2"/>
  <c r="BH25" i="2"/>
  <c r="BH73" i="2"/>
  <c r="BH27" i="2"/>
  <c r="BH26" i="2"/>
  <c r="BH24" i="2"/>
  <c r="BH15" i="2"/>
  <c r="BH9" i="2"/>
  <c r="BG172" i="2"/>
  <c r="BG171" i="2"/>
  <c r="BG170" i="2"/>
  <c r="BG169" i="2"/>
  <c r="BG168" i="2"/>
  <c r="BG166" i="2"/>
  <c r="BG165" i="2"/>
  <c r="BG164" i="2"/>
  <c r="BG161" i="2"/>
  <c r="BG160" i="2"/>
  <c r="BG158" i="2"/>
  <c r="BG157" i="2"/>
  <c r="BG156" i="2"/>
  <c r="BG155" i="2"/>
  <c r="BG153" i="2"/>
  <c r="BG152" i="2"/>
  <c r="BG151" i="2"/>
  <c r="BG150" i="2"/>
  <c r="BG149" i="2"/>
  <c r="BG148" i="2"/>
  <c r="BG147" i="2"/>
  <c r="BG146" i="2"/>
  <c r="BG145" i="2"/>
  <c r="BG144" i="2"/>
  <c r="BG143" i="2"/>
  <c r="BG142" i="2"/>
  <c r="BG141" i="2"/>
  <c r="BG140" i="2"/>
  <c r="BG139" i="2"/>
  <c r="BG138" i="2"/>
  <c r="BG137" i="2"/>
  <c r="BG136" i="2"/>
  <c r="BG135" i="2"/>
  <c r="BG134" i="2"/>
  <c r="BG132" i="2"/>
  <c r="BG131" i="2"/>
  <c r="BG130" i="2"/>
  <c r="BG129" i="2"/>
  <c r="BG128" i="2"/>
  <c r="BG127" i="2"/>
  <c r="BG126" i="2"/>
  <c r="BG125" i="2"/>
  <c r="BG124" i="2"/>
  <c r="BG123" i="2"/>
  <c r="BG122" i="2"/>
  <c r="BG120" i="2"/>
  <c r="BG119" i="2"/>
  <c r="BG118" i="2"/>
  <c r="BG117" i="2"/>
  <c r="BG116" i="2"/>
  <c r="BG115" i="2"/>
  <c r="BG113" i="2"/>
  <c r="BG108" i="2"/>
  <c r="BG107" i="2"/>
  <c r="BG102" i="2"/>
  <c r="BG101" i="2"/>
  <c r="BG100" i="2"/>
  <c r="BG99" i="2"/>
  <c r="BG98" i="2"/>
  <c r="BG97" i="2"/>
  <c r="BG96" i="2"/>
  <c r="BG95" i="2"/>
  <c r="BG94" i="2"/>
  <c r="BG93" i="2"/>
  <c r="BG92" i="2"/>
  <c r="BG90" i="2"/>
  <c r="BG89" i="2"/>
  <c r="BG87" i="2"/>
  <c r="BG86" i="2"/>
  <c r="BG85" i="2"/>
  <c r="BG82" i="2"/>
  <c r="BG81" i="2"/>
  <c r="BG76" i="2"/>
  <c r="BG74" i="2"/>
  <c r="BG72" i="2"/>
  <c r="BG71" i="2"/>
  <c r="BG70" i="2"/>
  <c r="BG69" i="2"/>
  <c r="BG68" i="2"/>
  <c r="BG65" i="2"/>
  <c r="BG64" i="2"/>
  <c r="BG61" i="2"/>
  <c r="BG60" i="2"/>
  <c r="BG58" i="2"/>
  <c r="BG57" i="2"/>
  <c r="BG56" i="2"/>
  <c r="BG55" i="2"/>
  <c r="BG52" i="2"/>
  <c r="BG51" i="2"/>
  <c r="BG50" i="2"/>
  <c r="BG48" i="2"/>
  <c r="BG47" i="2"/>
  <c r="BG46" i="2"/>
  <c r="BG45" i="2"/>
  <c r="BG43" i="2"/>
  <c r="BG38" i="2"/>
  <c r="BG36" i="2"/>
  <c r="BG35" i="2"/>
  <c r="BG32" i="2"/>
  <c r="BG30" i="2"/>
  <c r="BG28" i="2"/>
  <c r="BG19" i="2"/>
  <c r="BG18" i="2"/>
  <c r="BG17" i="2"/>
  <c r="BG16" i="2"/>
  <c r="BG14" i="2"/>
  <c r="BG13" i="2"/>
  <c r="BG12" i="2"/>
  <c r="BG11" i="2"/>
  <c r="BG10" i="2"/>
  <c r="BJ9" i="1"/>
  <c r="BJ10" i="1"/>
  <c r="BJ11" i="1"/>
  <c r="BJ16" i="1"/>
  <c r="BJ17" i="1"/>
  <c r="BJ25" i="1"/>
  <c r="BJ26" i="1"/>
  <c r="BJ46" i="1"/>
  <c r="BJ47" i="1"/>
  <c r="BJ48" i="1"/>
  <c r="BJ54" i="1"/>
  <c r="BJ59" i="1"/>
  <c r="BJ64" i="1"/>
  <c r="BJ70" i="1"/>
  <c r="BJ72" i="1"/>
  <c r="BJ77" i="1"/>
  <c r="BJ81" i="1"/>
  <c r="BJ86" i="1"/>
  <c r="BJ87" i="1"/>
  <c r="BJ91" i="1"/>
  <c r="BJ97" i="1"/>
  <c r="BJ98" i="1"/>
  <c r="BJ109" i="1"/>
  <c r="BJ110" i="1"/>
  <c r="BI117" i="1"/>
  <c r="BI116" i="1"/>
  <c r="BI99" i="1"/>
  <c r="BI80" i="1"/>
  <c r="BI79" i="1"/>
  <c r="BI78" i="1"/>
  <c r="BI73" i="1"/>
  <c r="BI65" i="1"/>
  <c r="BI63" i="1"/>
  <c r="BI62" i="1"/>
  <c r="BI61" i="1"/>
  <c r="BI60" i="1"/>
  <c r="BI58" i="1"/>
  <c r="BI57" i="1"/>
  <c r="BI56" i="1"/>
  <c r="BI55" i="1"/>
  <c r="BI51" i="1"/>
  <c r="BI50" i="1"/>
  <c r="BI49" i="1"/>
  <c r="BI23" i="1"/>
  <c r="BI19" i="1"/>
  <c r="BI18" i="1"/>
  <c r="BI14" i="1"/>
  <c r="BI13" i="1"/>
  <c r="BI12" i="1"/>
  <c r="BL8" i="1" l="1" a="1"/>
  <c r="BL8" i="1" s="1"/>
  <c r="BK118" i="1"/>
  <c r="BK9" i="1"/>
  <c r="BK10" i="1"/>
  <c r="BK11" i="1"/>
  <c r="BK16" i="1"/>
  <c r="BK17" i="1"/>
  <c r="BK25" i="1"/>
  <c r="BK26" i="1"/>
  <c r="BK46" i="1"/>
  <c r="BK47" i="1"/>
  <c r="BK48" i="1"/>
  <c r="BK54" i="1"/>
  <c r="BK59" i="1"/>
  <c r="BK64" i="1"/>
  <c r="BK70" i="1"/>
  <c r="BK72" i="1"/>
  <c r="BK77" i="1"/>
  <c r="BK81" i="1"/>
  <c r="BK86" i="1"/>
  <c r="BK87" i="1"/>
  <c r="BK91" i="1"/>
  <c r="BK97" i="1"/>
  <c r="BK98" i="1"/>
  <c r="BK109" i="1"/>
  <c r="BK110" i="1"/>
  <c r="BJ117" i="1"/>
  <c r="BJ116" i="1"/>
  <c r="BJ99" i="1"/>
  <c r="BJ80" i="1"/>
  <c r="BJ79" i="1"/>
  <c r="BJ78" i="1"/>
  <c r="BJ73" i="1"/>
  <c r="BJ65" i="1"/>
  <c r="BJ63" i="1"/>
  <c r="BJ62" i="1"/>
  <c r="BJ61" i="1"/>
  <c r="BJ60" i="1"/>
  <c r="BJ58" i="1"/>
  <c r="BJ57" i="1"/>
  <c r="BJ56" i="1"/>
  <c r="BJ55" i="1"/>
  <c r="BJ51" i="1"/>
  <c r="BJ50" i="1"/>
  <c r="BJ49" i="1"/>
  <c r="BJ23" i="1"/>
  <c r="BJ19" i="1"/>
  <c r="BJ18" i="1"/>
  <c r="BJ14" i="1"/>
  <c r="BJ13" i="1"/>
  <c r="BJ12" i="1"/>
  <c r="BI20" i="2"/>
  <c r="BI31" i="2"/>
  <c r="BI44" i="2"/>
  <c r="BI49" i="2"/>
  <c r="BI53" i="2"/>
  <c r="BI54" i="2"/>
  <c r="BI59" i="2"/>
  <c r="BI62" i="2"/>
  <c r="BI63" i="2"/>
  <c r="BI66" i="2"/>
  <c r="BI67" i="2"/>
  <c r="BI77" i="2"/>
  <c r="BI88" i="2"/>
  <c r="BI91" i="2"/>
  <c r="BI103" i="2"/>
  <c r="BI105" i="2"/>
  <c r="BI106" i="2"/>
  <c r="BI109" i="2"/>
  <c r="BI110" i="2"/>
  <c r="BI114" i="2"/>
  <c r="BI121" i="2"/>
  <c r="BI133" i="2"/>
  <c r="BI154" i="2"/>
  <c r="BI159" i="2"/>
  <c r="BI162" i="2"/>
  <c r="BI163" i="2"/>
  <c r="BI167" i="2"/>
  <c r="BI111" i="2"/>
  <c r="BI104" i="2"/>
  <c r="BI78" i="2"/>
  <c r="BI79" i="2"/>
  <c r="BI37" i="2"/>
  <c r="BI41" i="2"/>
  <c r="BI42" i="2"/>
  <c r="BI33" i="2"/>
  <c r="BI21" i="2"/>
  <c r="BI40" i="2"/>
  <c r="BI29" i="2"/>
  <c r="BI34" i="2"/>
  <c r="BI80" i="2"/>
  <c r="BI84" i="2"/>
  <c r="BI112" i="2"/>
  <c r="BI83" i="2"/>
  <c r="BI75" i="2"/>
  <c r="BI39" i="2"/>
  <c r="BI22" i="2"/>
  <c r="BI23" i="2"/>
  <c r="BI25" i="2"/>
  <c r="BI73" i="2"/>
  <c r="BI27" i="2"/>
  <c r="BI26" i="2"/>
  <c r="BI24" i="2"/>
  <c r="BI15" i="2"/>
  <c r="BI9" i="2"/>
  <c r="BH172" i="2"/>
  <c r="BH171" i="2"/>
  <c r="BH170" i="2"/>
  <c r="BH169" i="2"/>
  <c r="BH168" i="2"/>
  <c r="BH166" i="2"/>
  <c r="BH165" i="2"/>
  <c r="BH164" i="2"/>
  <c r="BH161" i="2"/>
  <c r="BH160" i="2"/>
  <c r="BH158" i="2"/>
  <c r="BH157" i="2"/>
  <c r="BH156" i="2"/>
  <c r="BH155" i="2"/>
  <c r="BH153" i="2"/>
  <c r="BH152" i="2"/>
  <c r="BH151" i="2"/>
  <c r="BH150" i="2"/>
  <c r="BH149" i="2"/>
  <c r="BH148" i="2"/>
  <c r="BH147" i="2"/>
  <c r="BH146" i="2"/>
  <c r="BH145" i="2"/>
  <c r="BH144" i="2"/>
  <c r="BH143" i="2"/>
  <c r="BH142" i="2"/>
  <c r="BH141" i="2"/>
  <c r="BH140" i="2"/>
  <c r="BH139" i="2"/>
  <c r="BH138" i="2"/>
  <c r="BH137" i="2"/>
  <c r="BH136" i="2"/>
  <c r="BH135" i="2"/>
  <c r="BH134" i="2"/>
  <c r="BH132" i="2"/>
  <c r="BH131" i="2"/>
  <c r="BH130" i="2"/>
  <c r="BH129" i="2"/>
  <c r="BH128" i="2"/>
  <c r="BH127" i="2"/>
  <c r="BH126" i="2"/>
  <c r="BH125" i="2"/>
  <c r="BH124" i="2"/>
  <c r="BH123" i="2"/>
  <c r="BH122" i="2"/>
  <c r="BH120" i="2"/>
  <c r="BH119" i="2"/>
  <c r="BH118" i="2"/>
  <c r="BH117" i="2"/>
  <c r="BH116" i="2"/>
  <c r="BH115" i="2"/>
  <c r="BH113" i="2"/>
  <c r="BH108" i="2"/>
  <c r="BH107" i="2"/>
  <c r="BH102" i="2"/>
  <c r="BH101" i="2"/>
  <c r="BH100" i="2"/>
  <c r="BH99" i="2"/>
  <c r="BH98" i="2"/>
  <c r="BH97" i="2"/>
  <c r="BH96" i="2"/>
  <c r="BH95" i="2"/>
  <c r="BH94" i="2"/>
  <c r="BH93" i="2"/>
  <c r="BH92" i="2"/>
  <c r="BH90" i="2"/>
  <c r="BH89" i="2"/>
  <c r="BH87" i="2"/>
  <c r="BH86" i="2"/>
  <c r="BH85" i="2"/>
  <c r="BH82" i="2"/>
  <c r="BH81" i="2"/>
  <c r="BH76" i="2"/>
  <c r="BH74" i="2"/>
  <c r="BH72" i="2"/>
  <c r="BH71" i="2"/>
  <c r="BH70" i="2"/>
  <c r="BH69" i="2"/>
  <c r="BH68" i="2"/>
  <c r="BH65" i="2"/>
  <c r="BH64" i="2"/>
  <c r="BH61" i="2"/>
  <c r="BH60" i="2"/>
  <c r="BH58" i="2"/>
  <c r="BH57" i="2"/>
  <c r="BH56" i="2"/>
  <c r="BH55" i="2"/>
  <c r="BH52" i="2"/>
  <c r="BH51" i="2"/>
  <c r="BH50" i="2"/>
  <c r="BH48" i="2"/>
  <c r="BH47" i="2"/>
  <c r="BH46" i="2"/>
  <c r="BH45" i="2"/>
  <c r="BH43" i="2"/>
  <c r="BH38" i="2"/>
  <c r="BH36" i="2"/>
  <c r="BH35" i="2"/>
  <c r="BH32" i="2"/>
  <c r="BH30" i="2"/>
  <c r="BH28" i="2"/>
  <c r="BH19" i="2"/>
  <c r="BH18" i="2"/>
  <c r="BH17" i="2"/>
  <c r="BH16" i="2"/>
  <c r="BH14" i="2"/>
  <c r="BH13" i="2"/>
  <c r="BH12" i="2"/>
  <c r="BH11" i="2"/>
  <c r="BH10" i="2"/>
  <c r="BM8" i="1" l="1" a="1"/>
  <c r="BM8" i="1" s="1"/>
  <c r="BM118" i="1" s="1"/>
  <c r="BL118" i="1"/>
  <c r="BJ20" i="2"/>
  <c r="BJ31" i="2"/>
  <c r="BJ44" i="2"/>
  <c r="BJ49" i="2"/>
  <c r="BJ53" i="2"/>
  <c r="BJ54" i="2"/>
  <c r="BJ59" i="2"/>
  <c r="BJ62" i="2"/>
  <c r="BJ63" i="2"/>
  <c r="BJ66" i="2"/>
  <c r="BJ67" i="2"/>
  <c r="BJ77" i="2"/>
  <c r="BJ88" i="2"/>
  <c r="BJ91" i="2"/>
  <c r="BJ103" i="2"/>
  <c r="BJ105" i="2"/>
  <c r="BJ106" i="2"/>
  <c r="BJ109" i="2"/>
  <c r="BJ110" i="2"/>
  <c r="BJ114" i="2"/>
  <c r="BJ121" i="2"/>
  <c r="BJ133" i="2"/>
  <c r="BJ154" i="2"/>
  <c r="BJ159" i="2"/>
  <c r="BJ162" i="2"/>
  <c r="BJ163" i="2"/>
  <c r="BJ167" i="2"/>
  <c r="BJ111" i="2"/>
  <c r="BJ104" i="2"/>
  <c r="BJ78" i="2"/>
  <c r="BJ79" i="2"/>
  <c r="BJ37" i="2"/>
  <c r="BJ41" i="2"/>
  <c r="BJ42" i="2"/>
  <c r="BJ33" i="2"/>
  <c r="BJ21" i="2"/>
  <c r="BJ40" i="2"/>
  <c r="BJ29" i="2"/>
  <c r="BJ34" i="2"/>
  <c r="BJ80" i="2"/>
  <c r="BJ84" i="2"/>
  <c r="BJ112" i="2"/>
  <c r="BJ83" i="2"/>
  <c r="BJ75" i="2"/>
  <c r="BJ39" i="2"/>
  <c r="BJ22" i="2"/>
  <c r="BJ23" i="2"/>
  <c r="BJ25" i="2"/>
  <c r="BJ73" i="2"/>
  <c r="BJ27" i="2"/>
  <c r="BJ26" i="2"/>
  <c r="BJ24" i="2"/>
  <c r="BJ15" i="2"/>
  <c r="BJ9" i="2"/>
  <c r="BI172" i="2"/>
  <c r="BI171" i="2"/>
  <c r="BI170" i="2"/>
  <c r="BI169" i="2"/>
  <c r="BI168" i="2"/>
  <c r="BI166" i="2"/>
  <c r="BI165" i="2"/>
  <c r="BI164" i="2"/>
  <c r="BI161" i="2"/>
  <c r="BI160" i="2"/>
  <c r="BI158" i="2"/>
  <c r="BI157" i="2"/>
  <c r="BI156" i="2"/>
  <c r="BI155" i="2"/>
  <c r="BI153" i="2"/>
  <c r="BI152" i="2"/>
  <c r="BI151" i="2"/>
  <c r="BI150" i="2"/>
  <c r="BI149" i="2"/>
  <c r="BI148" i="2"/>
  <c r="BI147" i="2"/>
  <c r="BI146" i="2"/>
  <c r="BI145" i="2"/>
  <c r="BI144" i="2"/>
  <c r="BI143" i="2"/>
  <c r="BI142" i="2"/>
  <c r="BI141" i="2"/>
  <c r="BI140" i="2"/>
  <c r="BI139" i="2"/>
  <c r="BI138" i="2"/>
  <c r="BI137" i="2"/>
  <c r="BI136" i="2"/>
  <c r="BI135" i="2"/>
  <c r="BI134" i="2"/>
  <c r="BI132" i="2"/>
  <c r="BI131" i="2"/>
  <c r="BI130" i="2"/>
  <c r="BI129" i="2"/>
  <c r="BI128" i="2"/>
  <c r="BI127" i="2"/>
  <c r="BI126" i="2"/>
  <c r="BI125" i="2"/>
  <c r="BI124" i="2"/>
  <c r="BI123" i="2"/>
  <c r="BI122" i="2"/>
  <c r="BI120" i="2"/>
  <c r="BI119" i="2"/>
  <c r="BI118" i="2"/>
  <c r="BI117" i="2"/>
  <c r="BI116" i="2"/>
  <c r="BI115" i="2"/>
  <c r="BI113" i="2"/>
  <c r="BI108" i="2"/>
  <c r="BI107" i="2"/>
  <c r="BI102" i="2"/>
  <c r="BI101" i="2"/>
  <c r="BI100" i="2"/>
  <c r="BI99" i="2"/>
  <c r="BI98" i="2"/>
  <c r="BI97" i="2"/>
  <c r="BI96" i="2"/>
  <c r="BI95" i="2"/>
  <c r="BI94" i="2"/>
  <c r="BI93" i="2"/>
  <c r="BI92" i="2"/>
  <c r="BI90" i="2"/>
  <c r="BI89" i="2"/>
  <c r="BI87" i="2"/>
  <c r="BI86" i="2"/>
  <c r="BI85" i="2"/>
  <c r="BI82" i="2"/>
  <c r="BI81" i="2"/>
  <c r="BI76" i="2"/>
  <c r="BI74" i="2"/>
  <c r="BI72" i="2"/>
  <c r="BI71" i="2"/>
  <c r="BI70" i="2"/>
  <c r="BI69" i="2"/>
  <c r="BI68" i="2"/>
  <c r="BI65" i="2"/>
  <c r="BI64" i="2"/>
  <c r="BI61" i="2"/>
  <c r="BI60" i="2"/>
  <c r="BI58" i="2"/>
  <c r="BI57" i="2"/>
  <c r="BI56" i="2"/>
  <c r="BI55" i="2"/>
  <c r="BI52" i="2"/>
  <c r="BI51" i="2"/>
  <c r="BI50" i="2"/>
  <c r="BI48" i="2"/>
  <c r="BI47" i="2"/>
  <c r="BI46" i="2"/>
  <c r="BI45" i="2"/>
  <c r="BI43" i="2"/>
  <c r="BI38" i="2"/>
  <c r="BI36" i="2"/>
  <c r="BI35" i="2"/>
  <c r="BI32" i="2"/>
  <c r="BI30" i="2"/>
  <c r="BI28" i="2"/>
  <c r="BI19" i="2"/>
  <c r="BI18" i="2"/>
  <c r="BI17" i="2"/>
  <c r="BI16" i="2"/>
  <c r="BI14" i="2"/>
  <c r="BI13" i="2"/>
  <c r="BI12" i="2"/>
  <c r="BI11" i="2"/>
  <c r="BI10" i="2"/>
  <c r="BL9" i="1"/>
  <c r="BL10" i="1"/>
  <c r="BL11" i="1"/>
  <c r="BL16" i="1"/>
  <c r="BL17" i="1"/>
  <c r="BL25" i="1"/>
  <c r="BL26" i="1"/>
  <c r="BL46" i="1"/>
  <c r="BL47" i="1"/>
  <c r="BL48" i="1"/>
  <c r="BL54" i="1"/>
  <c r="BL59" i="1"/>
  <c r="BL64" i="1"/>
  <c r="BL70" i="1"/>
  <c r="BL72" i="1"/>
  <c r="BL77" i="1"/>
  <c r="BL81" i="1"/>
  <c r="BL86" i="1"/>
  <c r="BL87" i="1"/>
  <c r="BL91" i="1"/>
  <c r="BL97" i="1"/>
  <c r="BL98" i="1"/>
  <c r="BL109" i="1"/>
  <c r="BL110" i="1"/>
  <c r="BK117" i="1"/>
  <c r="BK116" i="1"/>
  <c r="BK99" i="1"/>
  <c r="BK80" i="1"/>
  <c r="BK79" i="1"/>
  <c r="BK78" i="1"/>
  <c r="BK73" i="1"/>
  <c r="BK65" i="1"/>
  <c r="BK63" i="1"/>
  <c r="BK62" i="1"/>
  <c r="BK61" i="1"/>
  <c r="BK60" i="1"/>
  <c r="BK58" i="1"/>
  <c r="BK57" i="1"/>
  <c r="BK56" i="1"/>
  <c r="BK55" i="1"/>
  <c r="BK51" i="1"/>
  <c r="BK50" i="1"/>
  <c r="BK49" i="1"/>
  <c r="BK23" i="1"/>
  <c r="BK19" i="1"/>
  <c r="BK18" i="1"/>
  <c r="BK14" i="1"/>
  <c r="BK13" i="1"/>
  <c r="BK12" i="1"/>
  <c r="BM117" i="1" l="1"/>
  <c r="BM116" i="1"/>
  <c r="BM99" i="1"/>
  <c r="BM80" i="1"/>
  <c r="BM79" i="1"/>
  <c r="BM78" i="1"/>
  <c r="BM73" i="1"/>
  <c r="BM65" i="1"/>
  <c r="BM63" i="1"/>
  <c r="BM62" i="1"/>
  <c r="BM61" i="1"/>
  <c r="BM60" i="1"/>
  <c r="BM58" i="1"/>
  <c r="BM57" i="1"/>
  <c r="BM56" i="1"/>
  <c r="BM55" i="1"/>
  <c r="BM51" i="1"/>
  <c r="BM50" i="1"/>
  <c r="BM49" i="1"/>
  <c r="BM23" i="1"/>
  <c r="BM19" i="1"/>
  <c r="BM18" i="1"/>
  <c r="BM14" i="1"/>
  <c r="BM13" i="1"/>
  <c r="BM12" i="1"/>
  <c r="BM9" i="1"/>
  <c r="BM10" i="1"/>
  <c r="BM11" i="1"/>
  <c r="BM16" i="1"/>
  <c r="BM17" i="1"/>
  <c r="BM25" i="1"/>
  <c r="BM26" i="1"/>
  <c r="BM46" i="1"/>
  <c r="BM47" i="1"/>
  <c r="BM48" i="1"/>
  <c r="BM54" i="1"/>
  <c r="BM59" i="1"/>
  <c r="BM64" i="1"/>
  <c r="BM70" i="1"/>
  <c r="BM72" i="1"/>
  <c r="BM77" i="1"/>
  <c r="BM81" i="1"/>
  <c r="BM86" i="1"/>
  <c r="BM87" i="1"/>
  <c r="BM91" i="1"/>
  <c r="BM97" i="1"/>
  <c r="BM98" i="1"/>
  <c r="BM109" i="1"/>
  <c r="BM110" i="1"/>
  <c r="BL117" i="1"/>
  <c r="BL116" i="1"/>
  <c r="BL99" i="1"/>
  <c r="BL80" i="1"/>
  <c r="BL79" i="1"/>
  <c r="BL78" i="1"/>
  <c r="BL73" i="1"/>
  <c r="BL65" i="1"/>
  <c r="BL63" i="1"/>
  <c r="BL62" i="1"/>
  <c r="BL61" i="1"/>
  <c r="BL60" i="1"/>
  <c r="BL58" i="1"/>
  <c r="BL57" i="1"/>
  <c r="BL56" i="1"/>
  <c r="BL55" i="1"/>
  <c r="BL51" i="1"/>
  <c r="BL50" i="1"/>
  <c r="BL49" i="1"/>
  <c r="BL23" i="1"/>
  <c r="BL19" i="1"/>
  <c r="BL18" i="1"/>
  <c r="BL14" i="1"/>
  <c r="BL13" i="1"/>
  <c r="BL12" i="1"/>
  <c r="BK20" i="2"/>
  <c r="BK31" i="2"/>
  <c r="BK44" i="2"/>
  <c r="BK49" i="2"/>
  <c r="BK53" i="2"/>
  <c r="BK54" i="2"/>
  <c r="BK59" i="2"/>
  <c r="BK62" i="2"/>
  <c r="BK63" i="2"/>
  <c r="BK66" i="2"/>
  <c r="BK67" i="2"/>
  <c r="BK77" i="2"/>
  <c r="BK88" i="2"/>
  <c r="BK91" i="2"/>
  <c r="BK103" i="2"/>
  <c r="BK105" i="2"/>
  <c r="BK106" i="2"/>
  <c r="BK109" i="2"/>
  <c r="BK110" i="2"/>
  <c r="BK114" i="2"/>
  <c r="BK121" i="2"/>
  <c r="BK133" i="2"/>
  <c r="BK154" i="2"/>
  <c r="BK159" i="2"/>
  <c r="BK162" i="2"/>
  <c r="BK163" i="2"/>
  <c r="BK167" i="2"/>
  <c r="BK111" i="2"/>
  <c r="BK104" i="2"/>
  <c r="BK78" i="2"/>
  <c r="BK79" i="2"/>
  <c r="BK37" i="2"/>
  <c r="BK41" i="2"/>
  <c r="BK42" i="2"/>
  <c r="BK33" i="2"/>
  <c r="BK21" i="2"/>
  <c r="BK40" i="2"/>
  <c r="BK29" i="2"/>
  <c r="BK34" i="2"/>
  <c r="BK80" i="2"/>
  <c r="BK84" i="2"/>
  <c r="BK112" i="2"/>
  <c r="BK83" i="2"/>
  <c r="BK75" i="2"/>
  <c r="BK39" i="2"/>
  <c r="BK22" i="2"/>
  <c r="BK23" i="2"/>
  <c r="BK25" i="2"/>
  <c r="BK73" i="2"/>
  <c r="BK27" i="2"/>
  <c r="BK26" i="2"/>
  <c r="BK24" i="2"/>
  <c r="BK15" i="2"/>
  <c r="BK9" i="2"/>
  <c r="BJ172" i="2"/>
  <c r="BJ171" i="2"/>
  <c r="BJ170" i="2"/>
  <c r="BJ169" i="2"/>
  <c r="BJ168" i="2"/>
  <c r="BJ166" i="2"/>
  <c r="BJ165" i="2"/>
  <c r="BJ164" i="2"/>
  <c r="BJ161" i="2"/>
  <c r="BJ160" i="2"/>
  <c r="BJ158" i="2"/>
  <c r="BJ157" i="2"/>
  <c r="BJ156" i="2"/>
  <c r="BJ155" i="2"/>
  <c r="BJ153" i="2"/>
  <c r="BJ152" i="2"/>
  <c r="BJ151" i="2"/>
  <c r="BJ150" i="2"/>
  <c r="BJ149" i="2"/>
  <c r="BJ148" i="2"/>
  <c r="BJ147" i="2"/>
  <c r="BJ146" i="2"/>
  <c r="BJ145" i="2"/>
  <c r="BJ144" i="2"/>
  <c r="BJ143" i="2"/>
  <c r="BJ142" i="2"/>
  <c r="BJ141" i="2"/>
  <c r="BJ140" i="2"/>
  <c r="BJ139" i="2"/>
  <c r="BJ138" i="2"/>
  <c r="BJ137" i="2"/>
  <c r="BJ136" i="2"/>
  <c r="BJ135" i="2"/>
  <c r="BJ134" i="2"/>
  <c r="BJ132" i="2"/>
  <c r="BJ131" i="2"/>
  <c r="BJ130" i="2"/>
  <c r="BJ129" i="2"/>
  <c r="BJ128" i="2"/>
  <c r="BJ127" i="2"/>
  <c r="BJ126" i="2"/>
  <c r="BJ125" i="2"/>
  <c r="BJ124" i="2"/>
  <c r="BJ123" i="2"/>
  <c r="BJ122" i="2"/>
  <c r="BJ120" i="2"/>
  <c r="BJ119" i="2"/>
  <c r="BJ118" i="2"/>
  <c r="BJ117" i="2"/>
  <c r="BJ116" i="2"/>
  <c r="BJ115" i="2"/>
  <c r="BJ113" i="2"/>
  <c r="BJ108" i="2"/>
  <c r="BJ107" i="2"/>
  <c r="BJ102" i="2"/>
  <c r="BJ101" i="2"/>
  <c r="BJ100" i="2"/>
  <c r="BJ99" i="2"/>
  <c r="BJ98" i="2"/>
  <c r="BJ97" i="2"/>
  <c r="BJ96" i="2"/>
  <c r="BJ95" i="2"/>
  <c r="BJ94" i="2"/>
  <c r="BJ93" i="2"/>
  <c r="BJ92" i="2"/>
  <c r="BJ90" i="2"/>
  <c r="BJ89" i="2"/>
  <c r="BJ87" i="2"/>
  <c r="BJ86" i="2"/>
  <c r="BJ85" i="2"/>
  <c r="BJ82" i="2"/>
  <c r="BJ81" i="2"/>
  <c r="BJ76" i="2"/>
  <c r="BJ74" i="2"/>
  <c r="BJ72" i="2"/>
  <c r="BJ71" i="2"/>
  <c r="BJ70" i="2"/>
  <c r="BJ69" i="2"/>
  <c r="BJ68" i="2"/>
  <c r="BJ65" i="2"/>
  <c r="BJ64" i="2"/>
  <c r="BJ61" i="2"/>
  <c r="BJ60" i="2"/>
  <c r="BJ58" i="2"/>
  <c r="BJ57" i="2"/>
  <c r="BJ56" i="2"/>
  <c r="BJ55" i="2"/>
  <c r="BJ52" i="2"/>
  <c r="BJ51" i="2"/>
  <c r="BJ50" i="2"/>
  <c r="BJ48" i="2"/>
  <c r="BJ47" i="2"/>
  <c r="BJ46" i="2"/>
  <c r="BJ45" i="2"/>
  <c r="BJ43" i="2"/>
  <c r="BJ38" i="2"/>
  <c r="BJ36" i="2"/>
  <c r="BJ35" i="2"/>
  <c r="BJ32" i="2"/>
  <c r="BJ30" i="2"/>
  <c r="BJ28" i="2"/>
  <c r="BJ19" i="2"/>
  <c r="BJ18" i="2"/>
  <c r="BJ17" i="2"/>
  <c r="BJ16" i="2"/>
  <c r="BJ14" i="2"/>
  <c r="BJ13" i="2"/>
  <c r="BJ12" i="2"/>
  <c r="BJ11" i="2"/>
  <c r="BJ10" i="2"/>
  <c r="BL20" i="2" l="1"/>
  <c r="BL31" i="2"/>
  <c r="BL44" i="2"/>
  <c r="BL49" i="2"/>
  <c r="BL53" i="2"/>
  <c r="BL54" i="2"/>
  <c r="BL59" i="2"/>
  <c r="BL62" i="2"/>
  <c r="BL63" i="2"/>
  <c r="BL66" i="2"/>
  <c r="BL67" i="2"/>
  <c r="BL77" i="2"/>
  <c r="BL88" i="2"/>
  <c r="BL91" i="2"/>
  <c r="BL103" i="2"/>
  <c r="BL105" i="2"/>
  <c r="BL106" i="2"/>
  <c r="BL109" i="2"/>
  <c r="BL110" i="2"/>
  <c r="BL114" i="2"/>
  <c r="BL121" i="2"/>
  <c r="BL133" i="2"/>
  <c r="BL154" i="2"/>
  <c r="BL159" i="2"/>
  <c r="BL162" i="2"/>
  <c r="BL163" i="2"/>
  <c r="BL167" i="2"/>
  <c r="BL111" i="2"/>
  <c r="BL104" i="2"/>
  <c r="BL78" i="2"/>
  <c r="BL79" i="2"/>
  <c r="BL37" i="2"/>
  <c r="BL41" i="2"/>
  <c r="BL42" i="2"/>
  <c r="BL33" i="2"/>
  <c r="BL21" i="2"/>
  <c r="BL40" i="2"/>
  <c r="BL29" i="2"/>
  <c r="BL34" i="2"/>
  <c r="BL80" i="2"/>
  <c r="BL84" i="2"/>
  <c r="BL112" i="2"/>
  <c r="BL83" i="2"/>
  <c r="BL75" i="2"/>
  <c r="BL39" i="2"/>
  <c r="BL22" i="2"/>
  <c r="BL23" i="2"/>
  <c r="BL25" i="2"/>
  <c r="BL73" i="2"/>
  <c r="BL27" i="2"/>
  <c r="BL26" i="2"/>
  <c r="BL24" i="2"/>
  <c r="BL15" i="2"/>
  <c r="BL9" i="2"/>
  <c r="BK172" i="2"/>
  <c r="BK171" i="2"/>
  <c r="BK170" i="2"/>
  <c r="BK169" i="2"/>
  <c r="BK168" i="2"/>
  <c r="BK166" i="2"/>
  <c r="BK165" i="2"/>
  <c r="BK164" i="2"/>
  <c r="BK161" i="2"/>
  <c r="BK160" i="2"/>
  <c r="BK158" i="2"/>
  <c r="BK157" i="2"/>
  <c r="BK156" i="2"/>
  <c r="BK155" i="2"/>
  <c r="BK153" i="2"/>
  <c r="BK152" i="2"/>
  <c r="BK151" i="2"/>
  <c r="BK150" i="2"/>
  <c r="BK149" i="2"/>
  <c r="BK148" i="2"/>
  <c r="BK147" i="2"/>
  <c r="BK146" i="2"/>
  <c r="BK145" i="2"/>
  <c r="BK144" i="2"/>
  <c r="BK143" i="2"/>
  <c r="BK142" i="2"/>
  <c r="BK141" i="2"/>
  <c r="BK140" i="2"/>
  <c r="BK139" i="2"/>
  <c r="BK138" i="2"/>
  <c r="BK137" i="2"/>
  <c r="BK136" i="2"/>
  <c r="BK135" i="2"/>
  <c r="BK134" i="2"/>
  <c r="BK132" i="2"/>
  <c r="BK131" i="2"/>
  <c r="BK130" i="2"/>
  <c r="BK129" i="2"/>
  <c r="BK128" i="2"/>
  <c r="BK127" i="2"/>
  <c r="BK126" i="2"/>
  <c r="BK125" i="2"/>
  <c r="BK124" i="2"/>
  <c r="BK123" i="2"/>
  <c r="BK122" i="2"/>
  <c r="BK120" i="2"/>
  <c r="BK119" i="2"/>
  <c r="BK118" i="2"/>
  <c r="BK117" i="2"/>
  <c r="BK116" i="2"/>
  <c r="BK115" i="2"/>
  <c r="BK113" i="2"/>
  <c r="BK108" i="2"/>
  <c r="BK107" i="2"/>
  <c r="BK102" i="2"/>
  <c r="BK101" i="2"/>
  <c r="BK100" i="2"/>
  <c r="BK99" i="2"/>
  <c r="BK98" i="2"/>
  <c r="BK97" i="2"/>
  <c r="BK96" i="2"/>
  <c r="BK95" i="2"/>
  <c r="BK94" i="2"/>
  <c r="BK93" i="2"/>
  <c r="BK92" i="2"/>
  <c r="BK90" i="2"/>
  <c r="BK89" i="2"/>
  <c r="BK87" i="2"/>
  <c r="BK86" i="2"/>
  <c r="BK85" i="2"/>
  <c r="BK82" i="2"/>
  <c r="BK81" i="2"/>
  <c r="BK76" i="2"/>
  <c r="BK74" i="2"/>
  <c r="BK72" i="2"/>
  <c r="BK71" i="2"/>
  <c r="BK70" i="2"/>
  <c r="BK69" i="2"/>
  <c r="BK68" i="2"/>
  <c r="BK65" i="2"/>
  <c r="BK64" i="2"/>
  <c r="BK61" i="2"/>
  <c r="BK60" i="2"/>
  <c r="BK58" i="2"/>
  <c r="BK57" i="2"/>
  <c r="BK56" i="2"/>
  <c r="BK55" i="2"/>
  <c r="BK52" i="2"/>
  <c r="BK51" i="2"/>
  <c r="BK50" i="2"/>
  <c r="BK48" i="2"/>
  <c r="BK47" i="2"/>
  <c r="BK46" i="2"/>
  <c r="BK45" i="2"/>
  <c r="BK43" i="2"/>
  <c r="BK38" i="2"/>
  <c r="BK36" i="2"/>
  <c r="BK35" i="2"/>
  <c r="BK32" i="2"/>
  <c r="BK30" i="2"/>
  <c r="BK28" i="2"/>
  <c r="BK19" i="2"/>
  <c r="BK18" i="2"/>
  <c r="BK17" i="2"/>
  <c r="BK16" i="2"/>
  <c r="BK14" i="2"/>
  <c r="BK13" i="2"/>
  <c r="BK12" i="2"/>
  <c r="BK11" i="2"/>
  <c r="BK10" i="2"/>
  <c r="BM20" i="2" l="1"/>
  <c r="BM31" i="2"/>
  <c r="BM44" i="2"/>
  <c r="BM49" i="2"/>
  <c r="BM53" i="2"/>
  <c r="BM54" i="2"/>
  <c r="BM59" i="2"/>
  <c r="BM62" i="2"/>
  <c r="BM63" i="2"/>
  <c r="BM66" i="2"/>
  <c r="BM67" i="2"/>
  <c r="BM77" i="2"/>
  <c r="BM88" i="2"/>
  <c r="BM91" i="2"/>
  <c r="BM103" i="2"/>
  <c r="BM105" i="2"/>
  <c r="BM106" i="2"/>
  <c r="BM109" i="2"/>
  <c r="BM110" i="2"/>
  <c r="BM114" i="2"/>
  <c r="BM121" i="2"/>
  <c r="BM133" i="2"/>
  <c r="BM154" i="2"/>
  <c r="BM159" i="2"/>
  <c r="BM162" i="2"/>
  <c r="BM163" i="2"/>
  <c r="BM167" i="2"/>
  <c r="BM111" i="2"/>
  <c r="BM104" i="2"/>
  <c r="BM78" i="2"/>
  <c r="BM79" i="2"/>
  <c r="BM37" i="2"/>
  <c r="BM41" i="2"/>
  <c r="BM42" i="2"/>
  <c r="BM33" i="2"/>
  <c r="BM21" i="2"/>
  <c r="BM40" i="2"/>
  <c r="BM29" i="2"/>
  <c r="BM34" i="2"/>
  <c r="BM80" i="2"/>
  <c r="BM84" i="2"/>
  <c r="BM112" i="2"/>
  <c r="BM83" i="2"/>
  <c r="BM75" i="2"/>
  <c r="BM39" i="2"/>
  <c r="BM22" i="2"/>
  <c r="BM23" i="2"/>
  <c r="BM25" i="2"/>
  <c r="BM73" i="2"/>
  <c r="BM27" i="2"/>
  <c r="BM26" i="2"/>
  <c r="BM24" i="2"/>
  <c r="BM15" i="2"/>
  <c r="BM9" i="2"/>
  <c r="BL172" i="2"/>
  <c r="BL171" i="2"/>
  <c r="BL170" i="2"/>
  <c r="BL169" i="2"/>
  <c r="BL168" i="2"/>
  <c r="BL166" i="2"/>
  <c r="BL165" i="2"/>
  <c r="BL164" i="2"/>
  <c r="BL161" i="2"/>
  <c r="BL160" i="2"/>
  <c r="BL158" i="2"/>
  <c r="BL157" i="2"/>
  <c r="BL156" i="2"/>
  <c r="BL155" i="2"/>
  <c r="BL153" i="2"/>
  <c r="BL152" i="2"/>
  <c r="BL151" i="2"/>
  <c r="BL150" i="2"/>
  <c r="BL149" i="2"/>
  <c r="BL148" i="2"/>
  <c r="BL147" i="2"/>
  <c r="BL146" i="2"/>
  <c r="BL145" i="2"/>
  <c r="BL144" i="2"/>
  <c r="BL143" i="2"/>
  <c r="BL142" i="2"/>
  <c r="BL141" i="2"/>
  <c r="BL140" i="2"/>
  <c r="BL139" i="2"/>
  <c r="BL138" i="2"/>
  <c r="BL137" i="2"/>
  <c r="BL136" i="2"/>
  <c r="BL135" i="2"/>
  <c r="BL134" i="2"/>
  <c r="BL132" i="2"/>
  <c r="BL131" i="2"/>
  <c r="BL130" i="2"/>
  <c r="BL129" i="2"/>
  <c r="BL128" i="2"/>
  <c r="BL127" i="2"/>
  <c r="BL126" i="2"/>
  <c r="BL125" i="2"/>
  <c r="BL124" i="2"/>
  <c r="BL123" i="2"/>
  <c r="BL122" i="2"/>
  <c r="BL120" i="2"/>
  <c r="BL119" i="2"/>
  <c r="BL118" i="2"/>
  <c r="BL117" i="2"/>
  <c r="BL116" i="2"/>
  <c r="BL115" i="2"/>
  <c r="BL113" i="2"/>
  <c r="BL108" i="2"/>
  <c r="BL107" i="2"/>
  <c r="BL102" i="2"/>
  <c r="BL101" i="2"/>
  <c r="BL100" i="2"/>
  <c r="BL99" i="2"/>
  <c r="BL98" i="2"/>
  <c r="BL97" i="2"/>
  <c r="BL96" i="2"/>
  <c r="BL95" i="2"/>
  <c r="BL94" i="2"/>
  <c r="BL93" i="2"/>
  <c r="BL92" i="2"/>
  <c r="BL90" i="2"/>
  <c r="BL89" i="2"/>
  <c r="BL87" i="2"/>
  <c r="BL86" i="2"/>
  <c r="BL85" i="2"/>
  <c r="BL82" i="2"/>
  <c r="BL81" i="2"/>
  <c r="BL76" i="2"/>
  <c r="BL74" i="2"/>
  <c r="BL72" i="2"/>
  <c r="BL71" i="2"/>
  <c r="BL70" i="2"/>
  <c r="BL69" i="2"/>
  <c r="BL68" i="2"/>
  <c r="BL65" i="2"/>
  <c r="BL64" i="2"/>
  <c r="BL61" i="2"/>
  <c r="BL60" i="2"/>
  <c r="BL58" i="2"/>
  <c r="BL57" i="2"/>
  <c r="BL56" i="2"/>
  <c r="BL55" i="2"/>
  <c r="BL52" i="2"/>
  <c r="BL51" i="2"/>
  <c r="BL50" i="2"/>
  <c r="BL48" i="2"/>
  <c r="BL47" i="2"/>
  <c r="BL46" i="2"/>
  <c r="BL45" i="2"/>
  <c r="BL43" i="2"/>
  <c r="BL38" i="2"/>
  <c r="BL36" i="2"/>
  <c r="BL35" i="2"/>
  <c r="BL32" i="2"/>
  <c r="BL30" i="2"/>
  <c r="BL28" i="2"/>
  <c r="BL19" i="2"/>
  <c r="BL18" i="2"/>
  <c r="BL17" i="2"/>
  <c r="BL16" i="2"/>
  <c r="BL14" i="2"/>
  <c r="BL13" i="2"/>
  <c r="BL12" i="2"/>
  <c r="BL11" i="2"/>
  <c r="BL10" i="2"/>
  <c r="BN20" i="2" l="1"/>
  <c r="BN31" i="2"/>
  <c r="BN44" i="2"/>
  <c r="BN49" i="2"/>
  <c r="BN53" i="2"/>
  <c r="BN54" i="2"/>
  <c r="BN59" i="2"/>
  <c r="BN62" i="2"/>
  <c r="BN63" i="2"/>
  <c r="BN66" i="2"/>
  <c r="BN67" i="2"/>
  <c r="BN77" i="2"/>
  <c r="BN88" i="2"/>
  <c r="BN91" i="2"/>
  <c r="BN103" i="2"/>
  <c r="BN105" i="2"/>
  <c r="BN106" i="2"/>
  <c r="BN109" i="2"/>
  <c r="BN110" i="2"/>
  <c r="BN114" i="2"/>
  <c r="BN121" i="2"/>
  <c r="BN133" i="2"/>
  <c r="BN154" i="2"/>
  <c r="BN159" i="2"/>
  <c r="BN162" i="2"/>
  <c r="BN163" i="2"/>
  <c r="BN167" i="2"/>
  <c r="BN111" i="2"/>
  <c r="BN104" i="2"/>
  <c r="BN78" i="2"/>
  <c r="BN79" i="2"/>
  <c r="BN37" i="2"/>
  <c r="BN41" i="2"/>
  <c r="BN42" i="2"/>
  <c r="BN33" i="2"/>
  <c r="BN21" i="2"/>
  <c r="BN40" i="2"/>
  <c r="BN29" i="2"/>
  <c r="BN34" i="2"/>
  <c r="BN80" i="2"/>
  <c r="BN84" i="2"/>
  <c r="BN112" i="2"/>
  <c r="BN83" i="2"/>
  <c r="BN75" i="2"/>
  <c r="BN39" i="2"/>
  <c r="BN22" i="2"/>
  <c r="BN23" i="2"/>
  <c r="BN25" i="2"/>
  <c r="BN73" i="2"/>
  <c r="BN27" i="2"/>
  <c r="BN26" i="2"/>
  <c r="BN24" i="2"/>
  <c r="BN15" i="2"/>
  <c r="BN9" i="2"/>
  <c r="BM172" i="2"/>
  <c r="BM171" i="2"/>
  <c r="BM170" i="2"/>
  <c r="BM169" i="2"/>
  <c r="BM168" i="2"/>
  <c r="BM166" i="2"/>
  <c r="BM165" i="2"/>
  <c r="BM164" i="2"/>
  <c r="BM161" i="2"/>
  <c r="BM160" i="2"/>
  <c r="BM158" i="2"/>
  <c r="BM157" i="2"/>
  <c r="BM156" i="2"/>
  <c r="BM155" i="2"/>
  <c r="BM153" i="2"/>
  <c r="BM152" i="2"/>
  <c r="BM151" i="2"/>
  <c r="BM150" i="2"/>
  <c r="BM149" i="2"/>
  <c r="BM148" i="2"/>
  <c r="BM147" i="2"/>
  <c r="BM146" i="2"/>
  <c r="BM145" i="2"/>
  <c r="BM144" i="2"/>
  <c r="BM143" i="2"/>
  <c r="BM142" i="2"/>
  <c r="BM141" i="2"/>
  <c r="BM140" i="2"/>
  <c r="BM139" i="2"/>
  <c r="BM138" i="2"/>
  <c r="BM137" i="2"/>
  <c r="BM136" i="2"/>
  <c r="BM135" i="2"/>
  <c r="BM134" i="2"/>
  <c r="BM132" i="2"/>
  <c r="BM131" i="2"/>
  <c r="BM130" i="2"/>
  <c r="BM129" i="2"/>
  <c r="BM128" i="2"/>
  <c r="BM127" i="2"/>
  <c r="BM126" i="2"/>
  <c r="BM125" i="2"/>
  <c r="BM124" i="2"/>
  <c r="BM123" i="2"/>
  <c r="BM122" i="2"/>
  <c r="BM120" i="2"/>
  <c r="BM119" i="2"/>
  <c r="BM118" i="2"/>
  <c r="BM117" i="2"/>
  <c r="BM116" i="2"/>
  <c r="BM115" i="2"/>
  <c r="BM113" i="2"/>
  <c r="BM108" i="2"/>
  <c r="BM107" i="2"/>
  <c r="BM102" i="2"/>
  <c r="BM101" i="2"/>
  <c r="BM100" i="2"/>
  <c r="BM99" i="2"/>
  <c r="BM98" i="2"/>
  <c r="BM97" i="2"/>
  <c r="BM96" i="2"/>
  <c r="BM95" i="2"/>
  <c r="BM94" i="2"/>
  <c r="BM93" i="2"/>
  <c r="BM92" i="2"/>
  <c r="BM90" i="2"/>
  <c r="BM89" i="2"/>
  <c r="BM87" i="2"/>
  <c r="BM86" i="2"/>
  <c r="BM85" i="2"/>
  <c r="BM82" i="2"/>
  <c r="BM81" i="2"/>
  <c r="BM76" i="2"/>
  <c r="BM74" i="2"/>
  <c r="BM72" i="2"/>
  <c r="BM71" i="2"/>
  <c r="BM70" i="2"/>
  <c r="BM69" i="2"/>
  <c r="BM68" i="2"/>
  <c r="BM65" i="2"/>
  <c r="BM64" i="2"/>
  <c r="BM61" i="2"/>
  <c r="BM60" i="2"/>
  <c r="BM58" i="2"/>
  <c r="BM57" i="2"/>
  <c r="BM56" i="2"/>
  <c r="BM55" i="2"/>
  <c r="BM52" i="2"/>
  <c r="BM51" i="2"/>
  <c r="BM50" i="2"/>
  <c r="BM48" i="2"/>
  <c r="BM47" i="2"/>
  <c r="BM46" i="2"/>
  <c r="BM45" i="2"/>
  <c r="BM43" i="2"/>
  <c r="BM38" i="2"/>
  <c r="BM36" i="2"/>
  <c r="BM35" i="2"/>
  <c r="BM32" i="2"/>
  <c r="BM30" i="2"/>
  <c r="BM28" i="2"/>
  <c r="BM19" i="2"/>
  <c r="BM18" i="2"/>
  <c r="BM17" i="2"/>
  <c r="BM16" i="2"/>
  <c r="BM14" i="2"/>
  <c r="BM13" i="2"/>
  <c r="BM12" i="2"/>
  <c r="BM11" i="2"/>
  <c r="BM10" i="2"/>
  <c r="BO20" i="2" l="1"/>
  <c r="BO31" i="2"/>
  <c r="BO44" i="2"/>
  <c r="BO49" i="2"/>
  <c r="BO53" i="2"/>
  <c r="BO54" i="2"/>
  <c r="BO59" i="2"/>
  <c r="BO62" i="2"/>
  <c r="BO63" i="2"/>
  <c r="BO66" i="2"/>
  <c r="BO67" i="2"/>
  <c r="BO77" i="2"/>
  <c r="BO88" i="2"/>
  <c r="BO91" i="2"/>
  <c r="BO103" i="2"/>
  <c r="BO105" i="2"/>
  <c r="BO106" i="2"/>
  <c r="BO109" i="2"/>
  <c r="BO110" i="2"/>
  <c r="BO114" i="2"/>
  <c r="BO121" i="2"/>
  <c r="BO133" i="2"/>
  <c r="BO154" i="2"/>
  <c r="BO159" i="2"/>
  <c r="BO162" i="2"/>
  <c r="BO163" i="2"/>
  <c r="BO167" i="2"/>
  <c r="BO111" i="2"/>
  <c r="BO104" i="2"/>
  <c r="BO78" i="2"/>
  <c r="BO79" i="2"/>
  <c r="BO37" i="2"/>
  <c r="BO41" i="2"/>
  <c r="BO42" i="2"/>
  <c r="BO33" i="2"/>
  <c r="BO21" i="2"/>
  <c r="BO40" i="2"/>
  <c r="BO29" i="2"/>
  <c r="BO34" i="2"/>
  <c r="BO80" i="2"/>
  <c r="BO84" i="2"/>
  <c r="BO112" i="2"/>
  <c r="BO83" i="2"/>
  <c r="BO75" i="2"/>
  <c r="BO39" i="2"/>
  <c r="BO22" i="2"/>
  <c r="BO23" i="2"/>
  <c r="BO25" i="2"/>
  <c r="BO73" i="2"/>
  <c r="BO27" i="2"/>
  <c r="BO26" i="2"/>
  <c r="BO24" i="2"/>
  <c r="BO15" i="2"/>
  <c r="BO9" i="2"/>
  <c r="BN172" i="2"/>
  <c r="BN171" i="2"/>
  <c r="BN170" i="2"/>
  <c r="BN169" i="2"/>
  <c r="BN168" i="2"/>
  <c r="BN166" i="2"/>
  <c r="BN165" i="2"/>
  <c r="BN164" i="2"/>
  <c r="BN161" i="2"/>
  <c r="BN160" i="2"/>
  <c r="BN158" i="2"/>
  <c r="BN157" i="2"/>
  <c r="BN156" i="2"/>
  <c r="BN155" i="2"/>
  <c r="BN153" i="2"/>
  <c r="BN152" i="2"/>
  <c r="BN151" i="2"/>
  <c r="BN150" i="2"/>
  <c r="BN149" i="2"/>
  <c r="BN148" i="2"/>
  <c r="BN147" i="2"/>
  <c r="BN146" i="2"/>
  <c r="BN145" i="2"/>
  <c r="BN144" i="2"/>
  <c r="BN143" i="2"/>
  <c r="BN142" i="2"/>
  <c r="BN141" i="2"/>
  <c r="BN140" i="2"/>
  <c r="BN139" i="2"/>
  <c r="BN138" i="2"/>
  <c r="BN137" i="2"/>
  <c r="BN136" i="2"/>
  <c r="BN135" i="2"/>
  <c r="BN134" i="2"/>
  <c r="BN132" i="2"/>
  <c r="BN131" i="2"/>
  <c r="BN130" i="2"/>
  <c r="BN129" i="2"/>
  <c r="BN128" i="2"/>
  <c r="BN127" i="2"/>
  <c r="BN126" i="2"/>
  <c r="BN125" i="2"/>
  <c r="BN124" i="2"/>
  <c r="BN123" i="2"/>
  <c r="BN122" i="2"/>
  <c r="BN120" i="2"/>
  <c r="BN119" i="2"/>
  <c r="BN118" i="2"/>
  <c r="BN117" i="2"/>
  <c r="BN116" i="2"/>
  <c r="BN115" i="2"/>
  <c r="BN113" i="2"/>
  <c r="BN108" i="2"/>
  <c r="BN107" i="2"/>
  <c r="BN102" i="2"/>
  <c r="BN101" i="2"/>
  <c r="BN100" i="2"/>
  <c r="BN99" i="2"/>
  <c r="BN98" i="2"/>
  <c r="BN97" i="2"/>
  <c r="BN96" i="2"/>
  <c r="BN95" i="2"/>
  <c r="BN94" i="2"/>
  <c r="BN93" i="2"/>
  <c r="BN92" i="2"/>
  <c r="BN90" i="2"/>
  <c r="BN89" i="2"/>
  <c r="BN87" i="2"/>
  <c r="BN86" i="2"/>
  <c r="BN85" i="2"/>
  <c r="BN82" i="2"/>
  <c r="BN81" i="2"/>
  <c r="BN76" i="2"/>
  <c r="BN74" i="2"/>
  <c r="BN72" i="2"/>
  <c r="BN71" i="2"/>
  <c r="BN70" i="2"/>
  <c r="BN69" i="2"/>
  <c r="BN68" i="2"/>
  <c r="BN65" i="2"/>
  <c r="BN64" i="2"/>
  <c r="BN61" i="2"/>
  <c r="BN60" i="2"/>
  <c r="BN58" i="2"/>
  <c r="BN57" i="2"/>
  <c r="BN56" i="2"/>
  <c r="BN55" i="2"/>
  <c r="BN52" i="2"/>
  <c r="BN51" i="2"/>
  <c r="BN50" i="2"/>
  <c r="BN48" i="2"/>
  <c r="BN47" i="2"/>
  <c r="BN46" i="2"/>
  <c r="BN45" i="2"/>
  <c r="BN43" i="2"/>
  <c r="BN38" i="2"/>
  <c r="BN36" i="2"/>
  <c r="BN35" i="2"/>
  <c r="BN32" i="2"/>
  <c r="BN30" i="2"/>
  <c r="BN28" i="2"/>
  <c r="BN19" i="2"/>
  <c r="BN18" i="2"/>
  <c r="BN17" i="2"/>
  <c r="BN16" i="2"/>
  <c r="BN14" i="2"/>
  <c r="BN13" i="2"/>
  <c r="BN12" i="2"/>
  <c r="BN11" i="2"/>
  <c r="BN10" i="2"/>
  <c r="BP20" i="2" l="1"/>
  <c r="BP31" i="2"/>
  <c r="BP44" i="2"/>
  <c r="BP49" i="2"/>
  <c r="BP53" i="2"/>
  <c r="BP54" i="2"/>
  <c r="BP59" i="2"/>
  <c r="BP62" i="2"/>
  <c r="BP63" i="2"/>
  <c r="BP66" i="2"/>
  <c r="BP67" i="2"/>
  <c r="BP77" i="2"/>
  <c r="BP88" i="2"/>
  <c r="BP91" i="2"/>
  <c r="BP103" i="2"/>
  <c r="BP105" i="2"/>
  <c r="BP106" i="2"/>
  <c r="BP109" i="2"/>
  <c r="BP110" i="2"/>
  <c r="BP114" i="2"/>
  <c r="BP121" i="2"/>
  <c r="BP133" i="2"/>
  <c r="BP154" i="2"/>
  <c r="BP159" i="2"/>
  <c r="BP162" i="2"/>
  <c r="BP163" i="2"/>
  <c r="BP167" i="2"/>
  <c r="BP111" i="2"/>
  <c r="BP104" i="2"/>
  <c r="BP78" i="2"/>
  <c r="BP79" i="2"/>
  <c r="BP37" i="2"/>
  <c r="BP41" i="2"/>
  <c r="BP42" i="2"/>
  <c r="BP33" i="2"/>
  <c r="BP21" i="2"/>
  <c r="BP40" i="2"/>
  <c r="BP29" i="2"/>
  <c r="BP34" i="2"/>
  <c r="BP80" i="2"/>
  <c r="BP84" i="2"/>
  <c r="BP112" i="2"/>
  <c r="BP83" i="2"/>
  <c r="BP75" i="2"/>
  <c r="BP39" i="2"/>
  <c r="BP22" i="2"/>
  <c r="BP23" i="2"/>
  <c r="BP25" i="2"/>
  <c r="BP73" i="2"/>
  <c r="BP27" i="2"/>
  <c r="BP26" i="2"/>
  <c r="BP24" i="2"/>
  <c r="BP15" i="2"/>
  <c r="BP9" i="2"/>
  <c r="BO172" i="2"/>
  <c r="BO171" i="2"/>
  <c r="BO170" i="2"/>
  <c r="BO169" i="2"/>
  <c r="BO168" i="2"/>
  <c r="BO166" i="2"/>
  <c r="BO165" i="2"/>
  <c r="BO164" i="2"/>
  <c r="BO161" i="2"/>
  <c r="BO160" i="2"/>
  <c r="BO158" i="2"/>
  <c r="BO157" i="2"/>
  <c r="BO156" i="2"/>
  <c r="BO155" i="2"/>
  <c r="BO153" i="2"/>
  <c r="BO152" i="2"/>
  <c r="BO151" i="2"/>
  <c r="BO150" i="2"/>
  <c r="BO149" i="2"/>
  <c r="BO148" i="2"/>
  <c r="BO147" i="2"/>
  <c r="BO146" i="2"/>
  <c r="BO145" i="2"/>
  <c r="BO144" i="2"/>
  <c r="BO143" i="2"/>
  <c r="BO142" i="2"/>
  <c r="BO141" i="2"/>
  <c r="BO140" i="2"/>
  <c r="BO139" i="2"/>
  <c r="BO138" i="2"/>
  <c r="BO137" i="2"/>
  <c r="BO136" i="2"/>
  <c r="BO135" i="2"/>
  <c r="BO134" i="2"/>
  <c r="BO132" i="2"/>
  <c r="BO131" i="2"/>
  <c r="BO130" i="2"/>
  <c r="BO129" i="2"/>
  <c r="BO128" i="2"/>
  <c r="BO127" i="2"/>
  <c r="BO126" i="2"/>
  <c r="BO125" i="2"/>
  <c r="BO124" i="2"/>
  <c r="BO123" i="2"/>
  <c r="BO122" i="2"/>
  <c r="BO120" i="2"/>
  <c r="BO119" i="2"/>
  <c r="BO118" i="2"/>
  <c r="BO117" i="2"/>
  <c r="BO116" i="2"/>
  <c r="BO115" i="2"/>
  <c r="BO113" i="2"/>
  <c r="BO108" i="2"/>
  <c r="BO107" i="2"/>
  <c r="BO102" i="2"/>
  <c r="BO101" i="2"/>
  <c r="BO100" i="2"/>
  <c r="BO99" i="2"/>
  <c r="BO98" i="2"/>
  <c r="BO97" i="2"/>
  <c r="BO96" i="2"/>
  <c r="BO95" i="2"/>
  <c r="BO94" i="2"/>
  <c r="BO93" i="2"/>
  <c r="BO92" i="2"/>
  <c r="BO90" i="2"/>
  <c r="BO89" i="2"/>
  <c r="BO87" i="2"/>
  <c r="BO86" i="2"/>
  <c r="BO85" i="2"/>
  <c r="BO82" i="2"/>
  <c r="BO81" i="2"/>
  <c r="BO76" i="2"/>
  <c r="BO74" i="2"/>
  <c r="BO72" i="2"/>
  <c r="BO71" i="2"/>
  <c r="BO70" i="2"/>
  <c r="BO69" i="2"/>
  <c r="BO68" i="2"/>
  <c r="BO65" i="2"/>
  <c r="BO64" i="2"/>
  <c r="BO61" i="2"/>
  <c r="BO60" i="2"/>
  <c r="BO58" i="2"/>
  <c r="BO57" i="2"/>
  <c r="BO56" i="2"/>
  <c r="BO55" i="2"/>
  <c r="BO52" i="2"/>
  <c r="BO51" i="2"/>
  <c r="BO50" i="2"/>
  <c r="BO48" i="2"/>
  <c r="BO47" i="2"/>
  <c r="BO46" i="2"/>
  <c r="BO45" i="2"/>
  <c r="BO43" i="2"/>
  <c r="BO38" i="2"/>
  <c r="BO36" i="2"/>
  <c r="BO35" i="2"/>
  <c r="BO32" i="2"/>
  <c r="BO30" i="2"/>
  <c r="BO28" i="2"/>
  <c r="BO19" i="2"/>
  <c r="BO18" i="2"/>
  <c r="BO17" i="2"/>
  <c r="BO16" i="2"/>
  <c r="BO14" i="2"/>
  <c r="BO13" i="2"/>
  <c r="BO12" i="2"/>
  <c r="BO11" i="2"/>
  <c r="BO10" i="2"/>
  <c r="BQ172" i="2" l="1"/>
  <c r="BQ171" i="2"/>
  <c r="BQ170" i="2"/>
  <c r="BQ169" i="2"/>
  <c r="BQ168" i="2"/>
  <c r="BQ166" i="2"/>
  <c r="BQ165" i="2"/>
  <c r="BQ164" i="2"/>
  <c r="BQ161" i="2"/>
  <c r="BQ160" i="2"/>
  <c r="BQ158" i="2"/>
  <c r="BQ157" i="2"/>
  <c r="BQ156" i="2"/>
  <c r="BQ155" i="2"/>
  <c r="BQ153" i="2"/>
  <c r="BQ152" i="2"/>
  <c r="BQ151" i="2"/>
  <c r="BQ150" i="2"/>
  <c r="BQ149" i="2"/>
  <c r="BQ148" i="2"/>
  <c r="BQ147" i="2"/>
  <c r="BQ146" i="2"/>
  <c r="BQ145" i="2"/>
  <c r="BQ144" i="2"/>
  <c r="BQ143" i="2"/>
  <c r="BQ142" i="2"/>
  <c r="BQ141" i="2"/>
  <c r="BQ140" i="2"/>
  <c r="BQ139" i="2"/>
  <c r="BQ138" i="2"/>
  <c r="BQ137" i="2"/>
  <c r="BQ136" i="2"/>
  <c r="BQ135" i="2"/>
  <c r="BQ134" i="2"/>
  <c r="BQ132" i="2"/>
  <c r="BQ131" i="2"/>
  <c r="BQ130" i="2"/>
  <c r="BQ129" i="2"/>
  <c r="BQ128" i="2"/>
  <c r="BQ127" i="2"/>
  <c r="BQ126" i="2"/>
  <c r="BQ125" i="2"/>
  <c r="BQ124" i="2"/>
  <c r="BQ123" i="2"/>
  <c r="BQ122" i="2"/>
  <c r="BQ120" i="2"/>
  <c r="BQ119" i="2"/>
  <c r="BQ118" i="2"/>
  <c r="BQ117" i="2"/>
  <c r="BQ116" i="2"/>
  <c r="BQ115" i="2"/>
  <c r="BQ113" i="2"/>
  <c r="BQ108" i="2"/>
  <c r="BQ107" i="2"/>
  <c r="BQ102" i="2"/>
  <c r="BQ101" i="2"/>
  <c r="BQ100" i="2"/>
  <c r="BQ99" i="2"/>
  <c r="BQ98" i="2"/>
  <c r="BQ97" i="2"/>
  <c r="BQ96" i="2"/>
  <c r="BQ95" i="2"/>
  <c r="BQ94" i="2"/>
  <c r="BQ93" i="2"/>
  <c r="BQ92" i="2"/>
  <c r="BQ90" i="2"/>
  <c r="BQ89" i="2"/>
  <c r="BQ87" i="2"/>
  <c r="BQ86" i="2"/>
  <c r="BQ85" i="2"/>
  <c r="BQ82" i="2"/>
  <c r="BQ81" i="2"/>
  <c r="BQ76" i="2"/>
  <c r="BQ74" i="2"/>
  <c r="BQ72" i="2"/>
  <c r="BQ71" i="2"/>
  <c r="BQ70" i="2"/>
  <c r="BQ69" i="2"/>
  <c r="BQ68" i="2"/>
  <c r="BQ65" i="2"/>
  <c r="BQ64" i="2"/>
  <c r="BQ61" i="2"/>
  <c r="BQ60" i="2"/>
  <c r="BQ58" i="2"/>
  <c r="BQ57" i="2"/>
  <c r="BQ56" i="2"/>
  <c r="BQ55" i="2"/>
  <c r="BQ52" i="2"/>
  <c r="BQ51" i="2"/>
  <c r="BQ50" i="2"/>
  <c r="BQ48" i="2"/>
  <c r="BQ47" i="2"/>
  <c r="BQ46" i="2"/>
  <c r="BQ45" i="2"/>
  <c r="BQ43" i="2"/>
  <c r="BQ38" i="2"/>
  <c r="BQ36" i="2"/>
  <c r="BQ35" i="2"/>
  <c r="BQ32" i="2"/>
  <c r="BQ30" i="2"/>
  <c r="BQ28" i="2"/>
  <c r="BQ19" i="2"/>
  <c r="BQ18" i="2"/>
  <c r="BQ17" i="2"/>
  <c r="BQ16" i="2"/>
  <c r="BQ14" i="2"/>
  <c r="BQ13" i="2"/>
  <c r="BQ12" i="2"/>
  <c r="BQ11" i="2"/>
  <c r="BQ10" i="2"/>
  <c r="BQ20" i="2"/>
  <c r="BQ31" i="2"/>
  <c r="BQ44" i="2"/>
  <c r="BQ49" i="2"/>
  <c r="BQ53" i="2"/>
  <c r="BQ54" i="2"/>
  <c r="BQ59" i="2"/>
  <c r="BQ62" i="2"/>
  <c r="BQ63" i="2"/>
  <c r="BQ66" i="2"/>
  <c r="BQ67" i="2"/>
  <c r="BQ77" i="2"/>
  <c r="BQ88" i="2"/>
  <c r="BQ91" i="2"/>
  <c r="BQ103" i="2"/>
  <c r="BQ105" i="2"/>
  <c r="BQ106" i="2"/>
  <c r="BQ109" i="2"/>
  <c r="BQ110" i="2"/>
  <c r="BQ114" i="2"/>
  <c r="BQ121" i="2"/>
  <c r="BQ133" i="2"/>
  <c r="BQ154" i="2"/>
  <c r="BQ159" i="2"/>
  <c r="BQ162" i="2"/>
  <c r="BQ163" i="2"/>
  <c r="BQ167" i="2"/>
  <c r="BQ111" i="2"/>
  <c r="BQ104" i="2"/>
  <c r="BQ78" i="2"/>
  <c r="BQ79" i="2"/>
  <c r="BQ37" i="2"/>
  <c r="BQ41" i="2"/>
  <c r="BQ42" i="2"/>
  <c r="BQ33" i="2"/>
  <c r="BQ21" i="2"/>
  <c r="BQ40" i="2"/>
  <c r="BQ29" i="2"/>
  <c r="BQ34" i="2"/>
  <c r="BQ80" i="2"/>
  <c r="BQ84" i="2"/>
  <c r="BQ112" i="2"/>
  <c r="BQ83" i="2"/>
  <c r="BQ75" i="2"/>
  <c r="BQ39" i="2"/>
  <c r="BQ22" i="2"/>
  <c r="BQ23" i="2"/>
  <c r="BQ25" i="2"/>
  <c r="BQ73" i="2"/>
  <c r="BQ27" i="2"/>
  <c r="BQ26" i="2"/>
  <c r="BQ24" i="2"/>
  <c r="BQ15" i="2"/>
  <c r="BQ9" i="2"/>
  <c r="BP172" i="2"/>
  <c r="BP171" i="2"/>
  <c r="BP170" i="2"/>
  <c r="BP169" i="2"/>
  <c r="BP168" i="2"/>
  <c r="BP166" i="2"/>
  <c r="BP165" i="2"/>
  <c r="BP164" i="2"/>
  <c r="BP161" i="2"/>
  <c r="BP160" i="2"/>
  <c r="BP158" i="2"/>
  <c r="BP157" i="2"/>
  <c r="BP156" i="2"/>
  <c r="BP155" i="2"/>
  <c r="BP153" i="2"/>
  <c r="BP152" i="2"/>
  <c r="BP151" i="2"/>
  <c r="BP150" i="2"/>
  <c r="BP149" i="2"/>
  <c r="BP148" i="2"/>
  <c r="BP147" i="2"/>
  <c r="BP146" i="2"/>
  <c r="BP145" i="2"/>
  <c r="BP144" i="2"/>
  <c r="BP143" i="2"/>
  <c r="BP142" i="2"/>
  <c r="BP141" i="2"/>
  <c r="BP140" i="2"/>
  <c r="BP139" i="2"/>
  <c r="BP138" i="2"/>
  <c r="BP137" i="2"/>
  <c r="BP136" i="2"/>
  <c r="BP135" i="2"/>
  <c r="BP134" i="2"/>
  <c r="BP132" i="2"/>
  <c r="BP131" i="2"/>
  <c r="BP130" i="2"/>
  <c r="BP129" i="2"/>
  <c r="BP128" i="2"/>
  <c r="BP127" i="2"/>
  <c r="BP126" i="2"/>
  <c r="BP125" i="2"/>
  <c r="BP124" i="2"/>
  <c r="BP123" i="2"/>
  <c r="BP122" i="2"/>
  <c r="BP120" i="2"/>
  <c r="BP119" i="2"/>
  <c r="BP118" i="2"/>
  <c r="BP117" i="2"/>
  <c r="BP116" i="2"/>
  <c r="BP115" i="2"/>
  <c r="BP113" i="2"/>
  <c r="BP108" i="2"/>
  <c r="BP107" i="2"/>
  <c r="BP102" i="2"/>
  <c r="BP101" i="2"/>
  <c r="BP100" i="2"/>
  <c r="BP99" i="2"/>
  <c r="BP98" i="2"/>
  <c r="BP97" i="2"/>
  <c r="BP96" i="2"/>
  <c r="BP95" i="2"/>
  <c r="BP94" i="2"/>
  <c r="BP93" i="2"/>
  <c r="BP92" i="2"/>
  <c r="BP90" i="2"/>
  <c r="BP89" i="2"/>
  <c r="BP87" i="2"/>
  <c r="BP86" i="2"/>
  <c r="BP85" i="2"/>
  <c r="BP82" i="2"/>
  <c r="BP81" i="2"/>
  <c r="BP76" i="2"/>
  <c r="BP74" i="2"/>
  <c r="BP72" i="2"/>
  <c r="BP71" i="2"/>
  <c r="BP70" i="2"/>
  <c r="BP69" i="2"/>
  <c r="BP68" i="2"/>
  <c r="BP65" i="2"/>
  <c r="BP64" i="2"/>
  <c r="BP61" i="2"/>
  <c r="BP60" i="2"/>
  <c r="BP58" i="2"/>
  <c r="BP57" i="2"/>
  <c r="BP56" i="2"/>
  <c r="BP55" i="2"/>
  <c r="BP52" i="2"/>
  <c r="BP51" i="2"/>
  <c r="BP50" i="2"/>
  <c r="BP48" i="2"/>
  <c r="BP47" i="2"/>
  <c r="BP46" i="2"/>
  <c r="BP45" i="2"/>
  <c r="BP43" i="2"/>
  <c r="BP38" i="2"/>
  <c r="BP36" i="2"/>
  <c r="BP35" i="2"/>
  <c r="BP32" i="2"/>
  <c r="BP30" i="2"/>
  <c r="BP28" i="2"/>
  <c r="BP19" i="2"/>
  <c r="BP18" i="2"/>
  <c r="BP17" i="2"/>
  <c r="BP16" i="2"/>
  <c r="BP14" i="2"/>
  <c r="BP13" i="2"/>
  <c r="BP12" i="2"/>
  <c r="BP11" i="2"/>
  <c r="BP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20" authorId="0" shapeId="0" xr:uid="{00000000-0006-0000-0100-000004000000}">
      <text>
        <r>
          <rPr>
            <sz val="11"/>
            <color theme="1"/>
            <rFont val="Arial"/>
            <scheme val="minor"/>
          </rPr>
          <t>======
ID#AAABfPAIkVY
tc={3707FD58-284F-5C41-B0CE-AAC87CA0D8AF}    (2025-03-24 10:44:38)
[Threaded comment]
Your version of Excel allows you to read this threaded comment; however, any edits to it will get removed if the file is opened in a newer version of Excel. Learn more: https://go.microsoft.com/fwlink/?linkid=870924
Comment:
    delayed from Jan 29 original pegged</t>
        </r>
      </text>
    </comment>
    <comment ref="Y20" authorId="0" shapeId="0" xr:uid="{00000000-0006-0000-0100-00000A000000}">
      <text>
        <r>
          <rPr>
            <sz val="11"/>
            <color theme="1"/>
            <rFont val="Arial"/>
            <scheme val="minor"/>
          </rPr>
          <t>======
ID#AAABfPAIkVA
tc={7220F4DE-740D-E741-9BA0-C842156541AA}    (2025-03-24 10:44:38)
[Threaded comment]
Your version of Excel allows you to read this threaded comment; however, any edits to it will get removed if the file is opened in a newer version of Excel. Learn more: https://go.microsoft.com/fwlink/?linkid=870924
Comment:
    delayed from Jan 29 original pegged</t>
        </r>
      </text>
    </comment>
    <comment ref="Q35" authorId="0" shapeId="0" xr:uid="{00000000-0006-0000-0100-000009000000}">
      <text>
        <r>
          <rPr>
            <sz val="11"/>
            <color theme="1"/>
            <rFont val="Arial"/>
            <scheme val="minor"/>
          </rPr>
          <t>======
ID#AAABfPAIkVE
tc={F896E7E8-3DFD-FF47-8908-CBBDCBCE26B7}    (2025-03-24 10:44:38)
[Threaded comment]
Your version of Excel allows you to read this threaded comment; however, any edits to it will get removed if the file is opened in a newer version of Excel. Learn more: https://go.microsoft.com/fwlink/?linkid=870924
Comment:
    tentative earliest
Reply:
    delayed due to podium options; initial A3 plans already submitted for Barangay Permit</t>
        </r>
      </text>
    </comment>
    <comment ref="U35" authorId="0" shapeId="0" xr:uid="{00000000-0006-0000-0100-000006000000}">
      <text>
        <r>
          <rPr>
            <sz val="11"/>
            <color theme="1"/>
            <rFont val="Arial"/>
            <scheme val="minor"/>
          </rPr>
          <t>======
ID#AAABfPAIkVQ
tc={2AAF86B8-E59D-2849-8F41-186D36535F30}    (2025-03-24 10:44:38)
[Threaded comment]
Your version of Excel allows you to read this threaded comment; however, any edits to it will get removed if the file is opened in a newer version of Excel. Learn more: https://go.microsoft.com/fwlink/?linkid=870924
Comment:
    tentative earliest
Reply:
    delayed due to podium options; initial A3 plans already submitted for Barangay Permit</t>
        </r>
      </text>
    </comment>
    <comment ref="Y35" authorId="0" shapeId="0" xr:uid="{00000000-0006-0000-0100-000001000000}">
      <text>
        <r>
          <rPr>
            <sz val="11"/>
            <color theme="1"/>
            <rFont val="Arial"/>
            <scheme val="minor"/>
          </rPr>
          <t>======
ID#AAABfPAIkVk
tc={E4301399-CA65-DA42-8A88-3ECF74227C7B}    (2025-03-24 10:44:38)
[Threaded comment]
Your version of Excel allows you to read this threaded comment; however, any edits to it will get removed if the file is opened in a newer version of Excel. Learn more: https://go.microsoft.com/fwlink/?linkid=870924
Comment:
    tentative earliest
Reply:
    delayed due to podium options; initial A3 plans already submitted for Barangay Permit</t>
        </r>
      </text>
    </comment>
    <comment ref="P43" authorId="0" shapeId="0" xr:uid="{00000000-0006-0000-0100-000003000000}">
      <text>
        <r>
          <rPr>
            <sz val="11"/>
            <color theme="1"/>
            <rFont val="Arial"/>
            <scheme val="minor"/>
          </rPr>
          <t>======
ID#AAABfPAIkVc
tc={51ECB6E1-FB79-AB4A-8D26-9041EA1804F7}    (2025-03-24 10:44:38)
[Threaded comment]
Your version of Excel allows you to read this threaded comment; however, any edits to it will get removed if the file is opened in a newer version of Excel. Learn more: https://go.microsoft.com/fwlink/?linkid=870924
Comment:
    High impact on TLS. Feb 12 start of compilation of requirements</t>
        </r>
      </text>
    </comment>
    <comment ref="T43" authorId="0" shapeId="0" xr:uid="{00000000-0006-0000-0100-000008000000}">
      <text>
        <r>
          <rPr>
            <sz val="11"/>
            <color theme="1"/>
            <rFont val="Arial"/>
            <scheme val="minor"/>
          </rPr>
          <t>======
ID#AAABfPAIkVI
tc={7D9377B7-73CC-4F41-856D-35B16C583AFF}    (2025-03-24 10:44:38)
[Threaded comment]
Your version of Excel allows you to read this threaded comment; however, any edits to it will get removed if the file is opened in a newer version of Excel. Learn more: https://go.microsoft.com/fwlink/?linkid=870924
Comment:
    High impact on TLS. Feb 12 start of compilation of requirements</t>
        </r>
      </text>
    </comment>
    <comment ref="X43" authorId="0" shapeId="0" xr:uid="{00000000-0006-0000-0100-000007000000}">
      <text>
        <r>
          <rPr>
            <sz val="11"/>
            <color theme="1"/>
            <rFont val="Arial"/>
            <scheme val="minor"/>
          </rPr>
          <t>======
ID#AAABfPAIkVM
tc={CBD84899-4115-7542-B3AF-F172BA802B3B}    (2025-03-24 10:44:38)
[Threaded comment]
Your version of Excel allows you to read this threaded comment; however, any edits to it will get removed if the file is opened in a newer version of Excel. Learn more: https://go.microsoft.com/fwlink/?linkid=870924
Comment:
    High impact on TLS. Feb 12 start of compilation of requirements</t>
        </r>
      </text>
    </comment>
    <comment ref="Q90" authorId="0" shapeId="0" xr:uid="{00000000-0006-0000-0100-000002000000}">
      <text>
        <r>
          <rPr>
            <sz val="11"/>
            <color theme="1"/>
            <rFont val="Arial"/>
            <scheme val="minor"/>
          </rPr>
          <t>======
ID#AAABfPAIkVg
tc={277B9408-E958-4248-AEDA-61C0B55068C9}    (2025-03-24 10:44:38)
[Threaded comment]
Your version of Excel allows you to read this threaded comment; however, any edits to it will get removed if the file is opened in a newer version of Excel. Learn more: https://go.microsoft.com/fwlink/?linkid=870924
Comment:
    adjust accordingly</t>
        </r>
      </text>
    </comment>
    <comment ref="U90" authorId="0" shapeId="0" xr:uid="{00000000-0006-0000-0100-000005000000}">
      <text>
        <r>
          <rPr>
            <sz val="11"/>
            <color theme="1"/>
            <rFont val="Arial"/>
            <scheme val="minor"/>
          </rPr>
          <t>======
ID#AAABfPAIkVU
tc={E227BF6C-F80F-A54B-AFD6-CBF81C9A47D9}    (2025-03-24 10:44:38)
[Threaded comment]
Your version of Excel allows you to read this threaded comment; however, any edits to it will get removed if the file is opened in a newer version of Excel. Learn more: https://go.microsoft.com/fwlink/?linkid=870924
Comment:
    adjust accordingly</t>
        </r>
      </text>
    </comment>
  </commentList>
  <extLst>
    <ext xmlns:r="http://schemas.openxmlformats.org/officeDocument/2006/relationships" uri="GoogleSheetsCustomDataVersion2">
      <go:sheetsCustomData xmlns:go="http://customooxmlschemas.google.com/" r:id="rId1" roundtripDataSignature="AMtx7mgwtuxHcVzPk9KUHwSrZEcZdufpvg=="/>
    </ext>
  </extL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<sst xmlns="http://schemas.openxmlformats.org/spreadsheetml/2006/main" count="1715" uniqueCount="904">
  <si>
    <t>x</t>
  </si>
  <si>
    <t>PROJECT WORK PROGRAM</t>
  </si>
  <si>
    <t>Project Schedule with Milestones and Time Table</t>
  </si>
  <si>
    <t>PROJECT    :</t>
  </si>
  <si>
    <t>PITX POS Tenant Sales Management Systems</t>
  </si>
  <si>
    <t>Gantt view</t>
  </si>
  <si>
    <t>Weekly</t>
  </si>
  <si>
    <t>LOCATION :</t>
  </si>
  <si>
    <t>1 Kennedy Rd. Brgy. Tambo, Parañaque  City</t>
  </si>
  <si>
    <t>Display</t>
  </si>
  <si>
    <t>Actual</t>
  </si>
  <si>
    <t>UPDATED ON :</t>
  </si>
  <si>
    <t>BL0</t>
  </si>
  <si>
    <t>Running</t>
  </si>
  <si>
    <t>as of MARCH 21, 2025</t>
  </si>
  <si>
    <t>NO</t>
  </si>
  <si>
    <t>Activity or Milestones</t>
  </si>
  <si>
    <t>Type</t>
  </si>
  <si>
    <t>Description</t>
  </si>
  <si>
    <t>Output</t>
  </si>
  <si>
    <t>Responsible</t>
  </si>
  <si>
    <t>Support</t>
  </si>
  <si>
    <t>Duration   (months)</t>
  </si>
  <si>
    <t>Duration   (days)</t>
  </si>
  <si>
    <t>Plan Start Date</t>
  </si>
  <si>
    <t>Plan End Date</t>
  </si>
  <si>
    <t>Actual Start Date</t>
  </si>
  <si>
    <t>Actual Finish Date</t>
  </si>
  <si>
    <t>% of Completion</t>
  </si>
  <si>
    <t>Predecessors</t>
  </si>
  <si>
    <t>Amount</t>
  </si>
  <si>
    <t>Date of Payment</t>
  </si>
  <si>
    <t>Remarks</t>
  </si>
  <si>
    <t>MODULE 1 Project Initiation &amp; Requirement Gathering</t>
  </si>
  <si>
    <t>L2</t>
  </si>
  <si>
    <t>1.1 Project Initiation</t>
  </si>
  <si>
    <t>Establish project structure, roles, &amp; timeline</t>
  </si>
  <si>
    <t>kick-off minutes</t>
  </si>
  <si>
    <t>-</t>
  </si>
  <si>
    <t>L3</t>
  </si>
  <si>
    <t>1.1.1 Kick-off Meeting</t>
  </si>
  <si>
    <t>A</t>
  </si>
  <si>
    <t>Align team &amp; client on goals, scope, timelines</t>
  </si>
  <si>
    <t>L4</t>
  </si>
  <si>
    <t>1.1.1.1 Schedule Kick-off Meeting</t>
  </si>
  <si>
    <t>SA</t>
  </si>
  <si>
    <t>Send invites to all parties</t>
  </si>
  <si>
    <t>Calendar invite</t>
  </si>
  <si>
    <t>1.1.1.1</t>
  </si>
  <si>
    <t>1.1.1.2 Prepare agenda &amp; materials</t>
  </si>
  <si>
    <t>Prepared timeline overview</t>
  </si>
  <si>
    <t>1.1.1.2</t>
  </si>
  <si>
    <t>1.1.1.3 Conduct the meeting</t>
  </si>
  <si>
    <t>Capture attendance and notes</t>
  </si>
  <si>
    <t>Meeting log</t>
  </si>
  <si>
    <t>1.1.1.3</t>
  </si>
  <si>
    <t>1.1.1.4 Distribute minutes</t>
  </si>
  <si>
    <t>Email and folder upload</t>
  </si>
  <si>
    <t>1.1.1.4</t>
  </si>
  <si>
    <t>1.2 Finalize Requirement</t>
  </si>
  <si>
    <t>Finalize both PITX and POS provider requirements</t>
  </si>
  <si>
    <t>Approved requirement documentation</t>
  </si>
  <si>
    <t>1.2.1 PITX Team requriements</t>
  </si>
  <si>
    <t>Identify and validate needs from PITX stakeholders</t>
  </si>
  <si>
    <t>Reviewed checklist</t>
  </si>
  <si>
    <t>1.2.1.1 Interview key PITX stakeholders</t>
  </si>
  <si>
    <t>Understand reporting and tracking expectations</t>
  </si>
  <si>
    <t>Notes from sessions</t>
  </si>
  <si>
    <t>PPM,PFC</t>
  </si>
  <si>
    <t>FIN,IT</t>
  </si>
  <si>
    <t>1.2.1.2 Document feature expectations</t>
  </si>
  <si>
    <t>Translate into feature list for backend/frontend dev</t>
  </si>
  <si>
    <t>Feature list</t>
  </si>
  <si>
    <t>1.2.2.1</t>
  </si>
  <si>
    <t>1.2.1.3 Review &amp; validate with PITX</t>
  </si>
  <si>
    <t>Confirm feasibility</t>
  </si>
  <si>
    <t>Reviewed list</t>
  </si>
  <si>
    <t>1.2.2.2</t>
  </si>
  <si>
    <t>1.2.2 POS Provider Integration requirements</t>
  </si>
  <si>
    <t xml:space="preserve">Gather integrtion requirement from POS provider </t>
  </si>
  <si>
    <t>POS format validation doc</t>
  </si>
  <si>
    <t>1.2.2.1 Confirm POS data format requirements</t>
  </si>
  <si>
    <t>Analyze transaction format from POS provider</t>
  </si>
  <si>
    <t>Field mapping matrix</t>
  </si>
  <si>
    <t>1.2.2.2 Validate with POS provider (if needed)</t>
  </si>
  <si>
    <t>Confirm consistency in batch upload structure</t>
  </si>
  <si>
    <t>Validate format</t>
  </si>
  <si>
    <t>1.2.2.3 Secure buy-in from POS software provider</t>
  </si>
  <si>
    <t>Confirm alignment and agreement with POS providers</t>
  </si>
  <si>
    <t>Agreement/contract</t>
  </si>
  <si>
    <t>1.3 Requirement Sign-off</t>
  </si>
  <si>
    <t>Finalize and approve MVP and UAT conditions</t>
  </si>
  <si>
    <t>Signed scope and UAT checklist</t>
  </si>
  <si>
    <t>1.3.1 MVP Definition</t>
  </si>
  <si>
    <t>Confirm features for MVP</t>
  </si>
  <si>
    <t>MVP scope list</t>
  </si>
  <si>
    <t>1.3.1.1 List MVP Features</t>
  </si>
  <si>
    <t>Prioritize by phase and value</t>
  </si>
  <si>
    <t>MVP Draft</t>
  </si>
  <si>
    <t>PPM</t>
  </si>
  <si>
    <t>1.2.1.3, 1.2.2.3</t>
  </si>
  <si>
    <t>1.3.1.2 Confirm feasibility withd Dev</t>
  </si>
  <si>
    <t>Validate effort and scope</t>
  </si>
  <si>
    <t>Dev approved list</t>
  </si>
  <si>
    <t>1.3.1.1</t>
  </si>
  <si>
    <t>1.3.2 UAT Criteria</t>
  </si>
  <si>
    <t>Define conditions for UAT completion</t>
  </si>
  <si>
    <t>UAT checklist</t>
  </si>
  <si>
    <t>1.3.2.1 Draft UAT Success Criteria</t>
  </si>
  <si>
    <t>Tie back to features and test cases</t>
  </si>
  <si>
    <t>UAT Checklist Draft</t>
  </si>
  <si>
    <t>1.3.3 Sign-off Review</t>
  </si>
  <si>
    <t>Formalize scope &amp; requirement sign-off</t>
  </si>
  <si>
    <t>Signed document</t>
  </si>
  <si>
    <t>1.3.3.1 Finalize requirements doc</t>
  </si>
  <si>
    <t>Consolidated version for approval</t>
  </si>
  <si>
    <t>Final version</t>
  </si>
  <si>
    <t>1.3.1.2, 1.3.2.1</t>
  </si>
  <si>
    <t>1.3.3.2 Conduct sign-off meeting</t>
  </si>
  <si>
    <t>Review and client approval</t>
  </si>
  <si>
    <t>FIN,IT,COM</t>
  </si>
  <si>
    <t>1.3.3.1</t>
  </si>
  <si>
    <t>1.4 Resource and Environment Setup</t>
  </si>
  <si>
    <t>Prepare and secure dev resources</t>
  </si>
  <si>
    <t>Access credentials and infra ready</t>
  </si>
  <si>
    <t>1.4.1 Secure Required Resources</t>
  </si>
  <si>
    <t>Assign hardware, cloud, access credentials</t>
  </si>
  <si>
    <t>Provisioned accounts</t>
  </si>
  <si>
    <t>1.4.1.1 Create development server and database</t>
  </si>
  <si>
    <t>Determine dev server requirement</t>
  </si>
  <si>
    <t>Dev server</t>
  </si>
  <si>
    <t>Access rights to dev environment</t>
  </si>
  <si>
    <t>PPM,PTS,PFC</t>
  </si>
  <si>
    <t>1.4.1.2 Secure required people resource</t>
  </si>
  <si>
    <t>Dev team creation</t>
  </si>
  <si>
    <t>Dev team</t>
  </si>
  <si>
    <t>FIN</t>
  </si>
  <si>
    <t>1.4.2 Setup Development Environment</t>
  </si>
  <si>
    <t>Install required application, queue, config, etc.</t>
  </si>
  <si>
    <t>Working local server</t>
  </si>
  <si>
    <t>1.4.2.1 Insall dependencies</t>
  </si>
  <si>
    <t>Configure required techstack</t>
  </si>
  <si>
    <t>Installed Stack</t>
  </si>
  <si>
    <t>PTS</t>
  </si>
  <si>
    <t>1.4.1.2</t>
  </si>
  <si>
    <t>1.4.2.2 Configure environment Settings</t>
  </si>
  <si>
    <t>queues, mail setup, etc.</t>
  </si>
  <si>
    <t>Working dev environment</t>
  </si>
  <si>
    <t>PPM,IT</t>
  </si>
  <si>
    <t>1.4.2.1</t>
  </si>
  <si>
    <t>1.5 Design Mockup UI Interface</t>
  </si>
  <si>
    <t>Draft initial UI layout for stakeholder review</t>
  </si>
  <si>
    <t>Prototype</t>
  </si>
  <si>
    <t>1.5.1 Create Basic UI</t>
  </si>
  <si>
    <t>Visualize dashboard</t>
  </si>
  <si>
    <t>Draft wireframes</t>
  </si>
  <si>
    <t>1.5.1.1 Idetify UI components</t>
  </si>
  <si>
    <t>List required pages and elements</t>
  </si>
  <si>
    <t>Component Checklist</t>
  </si>
  <si>
    <t>PPM,PTS</t>
  </si>
  <si>
    <t>FIN/IT/COM</t>
  </si>
  <si>
    <t>1.3.3.2</t>
  </si>
  <si>
    <t>1.5.1.2 Design mockup screens</t>
  </si>
  <si>
    <t>Create visual layout</t>
  </si>
  <si>
    <t>Wireframe iamges</t>
  </si>
  <si>
    <t>1.5.1.1</t>
  </si>
  <si>
    <t>1.5.1.3 Review mockup</t>
  </si>
  <si>
    <t>Approved UI Design</t>
  </si>
  <si>
    <t>1.5.1.2</t>
  </si>
  <si>
    <t>MODULE 2 Core System Development</t>
  </si>
  <si>
    <t>2.1 Core Development</t>
  </si>
  <si>
    <t>Main phase involving backend logic, security, and testing</t>
  </si>
  <si>
    <t>Functional backend and tested API</t>
  </si>
  <si>
    <t>2.1.1 Database Development</t>
  </si>
  <si>
    <t>Design and implement TMS database schema</t>
  </si>
  <si>
    <t xml:space="preserve">Finalized DB schema &amp; migrations	</t>
  </si>
  <si>
    <t>2.1.1.1 Design Database schema and ERD</t>
  </si>
  <si>
    <t>Plan entities, fields, and releationshps</t>
  </si>
  <si>
    <t>ERD document</t>
  </si>
  <si>
    <t>PFC</t>
  </si>
  <si>
    <t>2.1.1.2 Create Migration Files</t>
  </si>
  <si>
    <t>Generate migration scripts</t>
  </si>
  <si>
    <t>Migration files</t>
  </si>
  <si>
    <t>2.1.1.1</t>
  </si>
  <si>
    <t>2.1.1.3 Foreign key constratinst implementation</t>
  </si>
  <si>
    <t>Set relationships and optimize reads</t>
  </si>
  <si>
    <t>Constraints and indexes</t>
  </si>
  <si>
    <t>2.1.1.2</t>
  </si>
  <si>
    <t>2.1.1.4 Normalize fields and apply naming convention</t>
  </si>
  <si>
    <t>Ensure clarity and scalability</t>
  </si>
  <si>
    <t>Normalized table</t>
  </si>
  <si>
    <t>2.1.1.5 Peer review and schema</t>
  </si>
  <si>
    <t>Validate DB structure</t>
  </si>
  <si>
    <t>Approved schema</t>
  </si>
  <si>
    <t>2.1.1.3, 2.1.1.4</t>
  </si>
  <si>
    <t>2.1.2 Security Implementation</t>
  </si>
  <si>
    <t>Security Implementation</t>
  </si>
  <si>
    <t>2.1.2.1 Setup Authentication</t>
  </si>
  <si>
    <t>Secure application via external config</t>
  </si>
  <si>
    <t>Auth and permission logic implementation</t>
  </si>
  <si>
    <t>PTS,PPM</t>
  </si>
  <si>
    <t>1.4.2.2</t>
  </si>
  <si>
    <t xml:space="preserve">2.1.2.2 Configure RBAC </t>
  </si>
  <si>
    <t>Token-based auth imlementation</t>
  </si>
  <si>
    <t>Authentication middleware</t>
  </si>
  <si>
    <t>2.1.2.1</t>
  </si>
  <si>
    <t>2.1.2.3 Enable data encryption for sensitive fields (if there's any)</t>
  </si>
  <si>
    <t>Restrict per role access</t>
  </si>
  <si>
    <t>RBAC matrix and policies</t>
  </si>
  <si>
    <t>2.1.2.4 Lock Config files</t>
  </si>
  <si>
    <t>Secure app keys, tokens, and URLs</t>
  </si>
  <si>
    <t>Encrypted fields</t>
  </si>
  <si>
    <t>2.1.2.3</t>
  </si>
  <si>
    <t>2.1.3 POS Transaction Processing and Error Handling</t>
  </si>
  <si>
    <t>Implement POS transaction pipeline and validation</t>
  </si>
  <si>
    <t xml:space="preserve">API endpoint and queue logic </t>
  </si>
  <si>
    <t>2.1.3.1 Create transaction ingestion API</t>
  </si>
  <si>
    <t>Accept and parse incoming payload</t>
  </si>
  <si>
    <t>/api/v1/transactions - endpoint</t>
  </si>
  <si>
    <t>2.1.1.5</t>
  </si>
  <si>
    <t>2.1.3.2 Build parser for POS text format</t>
  </si>
  <si>
    <t>Convert fixed-width input into structured array</t>
  </si>
  <si>
    <t>Parser service</t>
  </si>
  <si>
    <t>2.1.3.1</t>
  </si>
  <si>
    <t>2.1.3.3 Implment job queues and processing logic</t>
  </si>
  <si>
    <t>Use queue system for background jobs</t>
  </si>
  <si>
    <t>Job class + worker setup</t>
  </si>
  <si>
    <t>2.1.3.2</t>
  </si>
  <si>
    <t>2.1.3.4 Integrate error handling and retry mechanism</t>
  </si>
  <si>
    <t>Catch failed jobs and retry mechanism</t>
  </si>
  <si>
    <t>Error logs + retry strategy</t>
  </si>
  <si>
    <t>2.1.3.3</t>
  </si>
  <si>
    <t>2.1.4 Sytem Testing and Deployment</t>
  </si>
  <si>
    <t>Prepare fo UAT, execute tests, and deploy to staging</t>
  </si>
  <si>
    <t>UAT results + staged system</t>
  </si>
  <si>
    <t>2.1.4.1 Write unit and integration tests</t>
  </si>
  <si>
    <t>Cover key compents</t>
  </si>
  <si>
    <t>Test comverage reports</t>
  </si>
  <si>
    <t>2.1.3.4</t>
  </si>
  <si>
    <t>2.1.4.2 Conduct internal testing and bug fixes</t>
  </si>
  <si>
    <t>Ensure feature meets requirements</t>
  </si>
  <si>
    <t>Test Log</t>
  </si>
  <si>
    <t>2.1.4.1</t>
  </si>
  <si>
    <t>2.1.4.3 Prepare deployment checklist</t>
  </si>
  <si>
    <t>Final validation before deployment</t>
  </si>
  <si>
    <t>Deployment Checklist</t>
  </si>
  <si>
    <t>2.1.4.2</t>
  </si>
  <si>
    <t>2.1.4.4 Deploy application to staging environment</t>
  </si>
  <si>
    <t>Release application butil to LAN-based staging server</t>
  </si>
  <si>
    <t>Staging development confirmation</t>
  </si>
  <si>
    <t>2.1.4.3</t>
  </si>
  <si>
    <t>2.1.4.5 Conduct smoke testing in staging environment</t>
  </si>
  <si>
    <t>Verify application is functional in staging environment</t>
  </si>
  <si>
    <t>Smoke Test report</t>
  </si>
  <si>
    <t>2.1.4.4</t>
  </si>
  <si>
    <t>MODULE 3 Development and Integration</t>
  </si>
  <si>
    <t>Develop Supporting modules and connect core systems</t>
  </si>
  <si>
    <t>Functional and Integrated Modules</t>
  </si>
  <si>
    <t>3.1 Development and Intgration</t>
  </si>
  <si>
    <t>3.1 User Management Module</t>
  </si>
  <si>
    <t>Define roles for tenant, accounting, admin</t>
  </si>
  <si>
    <t>User access module</t>
  </si>
  <si>
    <t>3.1.1 Define user model and role structure</t>
  </si>
  <si>
    <t>Define roles for tenant, accounting, admin, and finance</t>
  </si>
  <si>
    <t>User and Role Schema</t>
  </si>
  <si>
    <t>PFC,PTS</t>
  </si>
  <si>
    <t>3.1.2 Implment login, register and password login</t>
  </si>
  <si>
    <t>Auth and password managment</t>
  </si>
  <si>
    <t>Auth controller</t>
  </si>
  <si>
    <t>3.1.1</t>
  </si>
  <si>
    <t>3.1.3 Integrate RBAC and PL packages</t>
  </si>
  <si>
    <t>Role assignment and permission management</t>
  </si>
  <si>
    <t>Role and Permission Table</t>
  </si>
  <si>
    <t>3.1.2</t>
  </si>
  <si>
    <t>3.1.4 Build admin user Interface</t>
  </si>
  <si>
    <t>CRUD and assignment screen for users</t>
  </si>
  <si>
    <t>Admin user view</t>
  </si>
  <si>
    <t>3.1.3</t>
  </si>
  <si>
    <t>3.2 Reporting Tools</t>
  </si>
  <si>
    <t>Build summary reports</t>
  </si>
  <si>
    <t>Reporting dashboard</t>
  </si>
  <si>
    <t>3.2.1 Define reporting requirements with PITX team</t>
  </si>
  <si>
    <t>List reports needed by users</t>
  </si>
  <si>
    <t>Reporting Specs</t>
  </si>
  <si>
    <t>PFC,FIN/IT/COM</t>
  </si>
  <si>
    <t xml:space="preserve">3.2.2 Build report views and endpoints </t>
  </si>
  <si>
    <t>Summary, CMSR, and POS transaction reports</t>
  </si>
  <si>
    <t>Report Endpoints</t>
  </si>
  <si>
    <t>PPM,PTS,FIN/IT/COM</t>
  </si>
  <si>
    <t>3.2.1</t>
  </si>
  <si>
    <t>3.2.3 Add filtes and export options</t>
  </si>
  <si>
    <t>Filtesr by tenant, date, POS, etc</t>
  </si>
  <si>
    <t>Export-enabled reports</t>
  </si>
  <si>
    <t>3.2.2</t>
  </si>
  <si>
    <t>3.3 Real-Time Data Synchronization &amp; Middleware</t>
  </si>
  <si>
    <t>Middleware for processing incoming POS data</t>
  </si>
  <si>
    <t xml:space="preserve">Real-time middleware </t>
  </si>
  <si>
    <t>3.3.1 Design data flow and processing engine</t>
  </si>
  <si>
    <t>Input validation, transform, and queue jobs</t>
  </si>
  <si>
    <t>Flow diagram and services</t>
  </si>
  <si>
    <t>3.3.2 Implement retry and fallback logic</t>
  </si>
  <si>
    <t>Error handling and retries</t>
  </si>
  <si>
    <t>Retry config</t>
  </si>
  <si>
    <t>3.3.1</t>
  </si>
  <si>
    <t>3.3.3 Validate data consistency and processing logs</t>
  </si>
  <si>
    <t>Ensure reliability and logs</t>
  </si>
  <si>
    <t>Validation reports</t>
  </si>
  <si>
    <t>3.3.2</t>
  </si>
  <si>
    <t>3.3.4 Conduct Middleware performance test</t>
  </si>
  <si>
    <t>Load test real-time queue and middleware</t>
  </si>
  <si>
    <t>Load test report</t>
  </si>
  <si>
    <t>3.3.3</t>
  </si>
  <si>
    <t>MODULE 4 Deployment and Support</t>
  </si>
  <si>
    <t>Deploy to production, train users, finalize support</t>
  </si>
  <si>
    <t>Go-live and transitioned operations</t>
  </si>
  <si>
    <t>CPM</t>
  </si>
  <si>
    <t>4.1 Production Depolyment</t>
  </si>
  <si>
    <t>Final preparatoin and launch to production</t>
  </si>
  <si>
    <t>Live system</t>
  </si>
  <si>
    <t>4.1.1 Final System Testing in Production</t>
  </si>
  <si>
    <t>Verify all systems post-deployments</t>
  </si>
  <si>
    <t>Test results and logs</t>
  </si>
  <si>
    <t>4.1.1.1 Execute smoke tests</t>
  </si>
  <si>
    <t>Validate application in live state</t>
  </si>
  <si>
    <t>Smoke test log</t>
  </si>
  <si>
    <t>4.1.2.1 Validate Integrations</t>
  </si>
  <si>
    <t>Confirm middleware/data flow</t>
  </si>
  <si>
    <t>Integration test report</t>
  </si>
  <si>
    <t>4.1.1.1</t>
  </si>
  <si>
    <t>4.1.2 Production Database Migration and Initialization</t>
  </si>
  <si>
    <t>Final DB copy and seeding</t>
  </si>
  <si>
    <t>Live production DB</t>
  </si>
  <si>
    <t>4.1.2.1 Migrate final schema/data</t>
  </si>
  <si>
    <t>Move from stating to prod</t>
  </si>
  <si>
    <t>Migrated data sets</t>
  </si>
  <si>
    <t>4.1.2.2 Intialize system with latest configs</t>
  </si>
  <si>
    <t>Apply live creadentials and environment settings</t>
  </si>
  <si>
    <t>Running app</t>
  </si>
  <si>
    <t>4.1.3 Security and Performance Optimization</t>
  </si>
  <si>
    <t>Harden the fune system for live ops</t>
  </si>
  <si>
    <t>Optimization logs</t>
  </si>
  <si>
    <t>4.1.3.1 Apply security patches</t>
  </si>
  <si>
    <t>Ensure config and server and config updates</t>
  </si>
  <si>
    <t>Updated system</t>
  </si>
  <si>
    <t>4.1.2.2</t>
  </si>
  <si>
    <t>4.1.3.2 Tune queue and database performance</t>
  </si>
  <si>
    <t>Optimize queue and indexing</t>
  </si>
  <si>
    <t>Performance log</t>
  </si>
  <si>
    <t>4.2 User training</t>
  </si>
  <si>
    <t>Tranin all user types before final handover</t>
  </si>
  <si>
    <t>Training attendance logs</t>
  </si>
  <si>
    <t>4.2.1 Admin and IT Support Training</t>
  </si>
  <si>
    <t>Train technical team on system</t>
  </si>
  <si>
    <t>Admin training log</t>
  </si>
  <si>
    <t>4.2.1.1 Walkthrough system admin tools</t>
  </si>
  <si>
    <t>Interface, logs, queue handling</t>
  </si>
  <si>
    <t>Support Playbook</t>
  </si>
  <si>
    <t xml:space="preserve">PTS </t>
  </si>
  <si>
    <t>4.2.1.2 Train on issue escalation and backup</t>
  </si>
  <si>
    <t>Support process</t>
  </si>
  <si>
    <t>Escalation Matrix</t>
  </si>
  <si>
    <t>4.2.1.1</t>
  </si>
  <si>
    <t>4.2.2 Tenant and Operations training</t>
  </si>
  <si>
    <t>Train end users (Accounting/finance/ops)</t>
  </si>
  <si>
    <t>User Training Records</t>
  </si>
  <si>
    <t>4.2.2.1 Preparing training materials</t>
  </si>
  <si>
    <t>Customized guidelines for tenant usage</t>
  </si>
  <si>
    <t>Tenant specific handouts</t>
  </si>
  <si>
    <t>4.2.2.2 Conduct training sessions</t>
  </si>
  <si>
    <t>Deliver training to operations/account staff</t>
  </si>
  <si>
    <t>Attendance record</t>
  </si>
  <si>
    <t>4.2.2.1</t>
  </si>
  <si>
    <t>4.2.3 Final Documentation and Knowledge Transfer</t>
  </si>
  <si>
    <t>Povide user guides and KBs [Knowledge Base]</t>
  </si>
  <si>
    <t>Training Kit and Docs</t>
  </si>
  <si>
    <t>4.2.3.1 Compile Training documentation</t>
  </si>
  <si>
    <t>Collect and organize all material and slides</t>
  </si>
  <si>
    <t>Training kit</t>
  </si>
  <si>
    <t>4.2.3.2 Transfer Knowledge to client team</t>
  </si>
  <si>
    <t>Walkthrough of SOPs and escallation paths</t>
  </si>
  <si>
    <t>Knowledge base index</t>
  </si>
  <si>
    <t>4.2.3.1</t>
  </si>
  <si>
    <t>4.2.3.3 Upload documentation to shared drive</t>
  </si>
  <si>
    <t>Ensure all users can access lates documentation</t>
  </si>
  <si>
    <t>Accessible training folder</t>
  </si>
  <si>
    <t>4.2.3.2</t>
  </si>
  <si>
    <t>4.2.3.4 Validate uploaded documents with client</t>
  </si>
  <si>
    <t>Confirm all files are available and complete</t>
  </si>
  <si>
    <t>Validated checklist</t>
  </si>
  <si>
    <t>4.2.3.3</t>
  </si>
  <si>
    <t>4.3 Final Project Handover and closure</t>
  </si>
  <si>
    <t>Confirm service levels and finalize sign-off</t>
  </si>
  <si>
    <t>Project closure kit</t>
  </si>
  <si>
    <t>4.3.1 System Handover Meeting</t>
  </si>
  <si>
    <t>Review delivery checklist</t>
  </si>
  <si>
    <t>Handover notes</t>
  </si>
  <si>
    <t>4.3.1.1 Conduct Handober Meeting</t>
  </si>
  <si>
    <t>4.3.2 SLA and Support Agreement Finalization</t>
  </si>
  <si>
    <t>Review and sign SLAs and warranties</t>
  </si>
  <si>
    <t>Signed SLA doc</t>
  </si>
  <si>
    <t>4.3.2.1 Draft SLA with stakeholders</t>
  </si>
  <si>
    <t>Prepare draft SLA based on project scope</t>
  </si>
  <si>
    <t>SLA Draft</t>
  </si>
  <si>
    <t>PPM,FIN</t>
  </si>
  <si>
    <t>4.3.2.2 Review SLA with stakeholders</t>
  </si>
  <si>
    <t>Align SLA terms and warranty clauses</t>
  </si>
  <si>
    <t>Reviewed SLA</t>
  </si>
  <si>
    <t>4.3.2.1</t>
  </si>
  <si>
    <t>4.3.3 Post-Deployment Review and Sign-off</t>
  </si>
  <si>
    <t>Conduct final walkthrough and evaluation</t>
  </si>
  <si>
    <t>Signed project closure</t>
  </si>
  <si>
    <t>4.3.3.1 Conduct closure review meeting</t>
  </si>
  <si>
    <t>Recap delivery, training, and open issues</t>
  </si>
  <si>
    <t>Meeting minutes</t>
  </si>
  <si>
    <t>4.3.3.2 Get final sign-off from client</t>
  </si>
  <si>
    <t>Client foncirms project closure and delivery</t>
  </si>
  <si>
    <t>Signed clsure document</t>
  </si>
  <si>
    <t>4.3.3.1</t>
  </si>
  <si>
    <t>LEGEND: (for Columns A to M, Y to AC)</t>
  </si>
  <si>
    <t>LEGEND: (for Columns O to W)</t>
  </si>
  <si>
    <t>L1</t>
  </si>
  <si>
    <t>PHASE</t>
  </si>
  <si>
    <t>Cells with values (not formula)</t>
  </si>
  <si>
    <t>ACTIVITY</t>
  </si>
  <si>
    <t>conditional formatting will trigger inputs on Column A</t>
  </si>
  <si>
    <t>Cells with formulas</t>
  </si>
  <si>
    <t>SUB-ACTIVITY</t>
  </si>
  <si>
    <t>conditional formatting will trigger inputs on Column B</t>
  </si>
  <si>
    <t>Blank cells</t>
  </si>
  <si>
    <t>DETAILED ACTIVITY</t>
  </si>
  <si>
    <t>conditional formatting will trigger inputs on Column C</t>
  </si>
  <si>
    <t>PROJECT  WORK  PROGRAM  - TEMPLATE</t>
  </si>
  <si>
    <t>[PROJECT NAME]</t>
  </si>
  <si>
    <t>Monthly</t>
  </si>
  <si>
    <t>[ADDRESS], [CITY]</t>
  </si>
  <si>
    <t>BL1</t>
  </si>
  <si>
    <t>as of January 10, 2025</t>
  </si>
  <si>
    <t>Plan Start</t>
  </si>
  <si>
    <t>Plan Finish</t>
  </si>
  <si>
    <t>INITIATION PHASE</t>
  </si>
  <si>
    <t>Sourcing Potential Land for Development</t>
  </si>
  <si>
    <t>Understand market conditions, demand drivers, and potential risks, enabling the company to position itself effectively in the market. Then identifying and selecting potential properties that meet specific criteria for investment, development, or sale.</t>
  </si>
  <si>
    <t>Property Shortlist</t>
  </si>
  <si>
    <t>BD</t>
  </si>
  <si>
    <t>Deliberation to Go or No Go for Development</t>
  </si>
  <si>
    <t>Present properties during EXECOM and decide if Go or No-Go</t>
  </si>
  <si>
    <t>Term Sheet/ LOI</t>
  </si>
  <si>
    <t>High-level Legal and Technical Due Diligence</t>
  </si>
  <si>
    <t>Perform a hi-level review of the legal documents of the property ie Title , Ownership, Corporations etc.</t>
  </si>
  <si>
    <t xml:space="preserve">Validated Title </t>
  </si>
  <si>
    <t>Legal</t>
  </si>
  <si>
    <t>Conduct Feasibility Study</t>
  </si>
  <si>
    <t>Perform the FS study  which include the Market Scan, Product Study, Hi-level Financial Model, Stakeholders map and Risk register.
Include high-level work program Arch'l Concept Design (if needed)</t>
  </si>
  <si>
    <t>Feasibility Study</t>
  </si>
  <si>
    <t>PD</t>
  </si>
  <si>
    <t>Submit Proposal</t>
  </si>
  <si>
    <t>Negotiation &amp; Awarding</t>
  </si>
  <si>
    <t>M</t>
  </si>
  <si>
    <t>DOAS</t>
  </si>
  <si>
    <t>BD / President</t>
  </si>
  <si>
    <t>Contract Closing</t>
  </si>
  <si>
    <t>1.7.1</t>
  </si>
  <si>
    <t>Joint Venture Agreement</t>
  </si>
  <si>
    <t>S</t>
  </si>
  <si>
    <t>Title &amp; Tech Description</t>
  </si>
  <si>
    <t>JVA Re-Execution to Reflect New Zonal Value</t>
  </si>
  <si>
    <t>PFSS Re-Execution to Reflect New Zonal Value</t>
  </si>
  <si>
    <t>1.7.2</t>
  </si>
  <si>
    <t>Incorporation of JV Company</t>
  </si>
  <si>
    <t>Actual start date from JV signing</t>
  </si>
  <si>
    <t>1.7.3</t>
  </si>
  <si>
    <t>Title Exchange Process</t>
  </si>
  <si>
    <t>confirmed measures with DHSUD on undertaking of title transfer for annotation of MDDR. Proceed with TLS as scheduled</t>
  </si>
  <si>
    <t>Increase in Capital Stock</t>
  </si>
  <si>
    <t>for PDC issuance to JV partner; ongoing with docs routing for increase in capital stock</t>
  </si>
  <si>
    <t>Tax Free Exchange</t>
  </si>
  <si>
    <t>Ongoing routing of documents for submission for BIR</t>
  </si>
  <si>
    <t>eCAR</t>
  </si>
  <si>
    <t>1.7.4</t>
  </si>
  <si>
    <t>Title Transfer from VMI to JVCo</t>
  </si>
  <si>
    <t>Can be undertaking</t>
  </si>
  <si>
    <t>1.7.5</t>
  </si>
  <si>
    <t>Tax Dec Transfer from VMI to JVCo</t>
  </si>
  <si>
    <t>PLANNING PHASE</t>
  </si>
  <si>
    <t>Develop Project Charter</t>
  </si>
  <si>
    <t>Includes Concept design, Schedule, Project Cost, Market, Sales, Risk Register, Stakeholders Map</t>
  </si>
  <si>
    <t>Project Charter</t>
  </si>
  <si>
    <t>Conduct Pre-Engineering Studies</t>
  </si>
  <si>
    <t>Perform pre-engineering studies and information gathering such Lot Survey, Soil Investigation, Topography , Flood Study, Traffic Study etc. as needed,  depending on the location of the property site.  All of these information  will be needed by the Design Consultants to complete  the Deisgn Work  .</t>
  </si>
  <si>
    <t>Lot Survey, Soil Investigation, Topographic Survey etc</t>
  </si>
  <si>
    <t>2.2.1</t>
  </si>
  <si>
    <t>Lot Survey</t>
  </si>
  <si>
    <t>D&amp;C</t>
  </si>
  <si>
    <t>done</t>
  </si>
  <si>
    <t>2.2.2</t>
  </si>
  <si>
    <t>Topographic Survey</t>
  </si>
  <si>
    <t>2.2.3</t>
  </si>
  <si>
    <t>Soil Investigation</t>
  </si>
  <si>
    <t>confirm actual date of submission of complete samples</t>
  </si>
  <si>
    <t>2.2.4</t>
  </si>
  <si>
    <t>VRT ?</t>
  </si>
  <si>
    <t xml:space="preserve">Develop Project Design </t>
  </si>
  <si>
    <t xml:space="preserve">Develop the Design of the project in multiple stages - Concept Dwg, Schematic Dwg and eventually the Construction Dwg . Every stages of the Design shall be collaboratively discussed altogether by multiple disicplines to make sure that all trades are properly coordinated  which shall be presented to Management for approval every stages . </t>
  </si>
  <si>
    <t>CD, SD, FCD</t>
  </si>
  <si>
    <t>2.3.1</t>
  </si>
  <si>
    <t>Masterplan &amp; Concept Drawings</t>
  </si>
  <si>
    <t xml:space="preserve">Base on the Product , market and  pricing study done in FS , the Concept Dwg (CD) which include Unit Floor Plan &amp; Massing of the Bldg  shall be developed by the Archt together with the PD &amp; Design team  to be presented to the Management for approval. At this stage, the Design Criteria shall be finalized incorporating the FS requirements and the CD which will then be used for the development of the Schematic Dwg up to Construction Dwg. </t>
  </si>
  <si>
    <t>C&amp;D</t>
  </si>
  <si>
    <t>Running from first submission; signed off Feb 9 2024</t>
  </si>
  <si>
    <t>Design Criteria</t>
  </si>
  <si>
    <t>2.3.2</t>
  </si>
  <si>
    <t>Schematic Drawings 1</t>
  </si>
  <si>
    <t xml:space="preserve">For Arch'l , SD dwgts are the Typical Floor Units , Ground Floor and the Podium Level.
For Structural, the Typical Floor Framing and the indicative sizes of the Elements ie Columns, Shearwalls, Slab and Corewalls.
For MEPF, the Typical Units and Hallways. </t>
  </si>
  <si>
    <t>Feb 9 2024 Kick Off</t>
  </si>
  <si>
    <t>Design Concept</t>
  </si>
  <si>
    <t>2.3.3</t>
  </si>
  <si>
    <t>Schematic Drawings 2</t>
  </si>
  <si>
    <t>needed for major permit</t>
  </si>
  <si>
    <t>SD1</t>
  </si>
  <si>
    <t>ongoing revision of podium</t>
  </si>
  <si>
    <t>2.3.4</t>
  </si>
  <si>
    <t>Construction Drawing &amp; Mat'l Spec'n</t>
  </si>
  <si>
    <t>SD2</t>
  </si>
  <si>
    <t>Secure Regulatory, Legal &amp; Permits</t>
  </si>
  <si>
    <t>2.5.1</t>
  </si>
  <si>
    <t xml:space="preserve">Cleanup of Title </t>
  </si>
  <si>
    <t>Title Segration, Transfer Tax, CGT, eCAR, Transfer of Title</t>
  </si>
  <si>
    <t xml:space="preserve">Title </t>
  </si>
  <si>
    <t>simultaneous with title exchange</t>
  </si>
  <si>
    <t>2.5.2</t>
  </si>
  <si>
    <t>CAAP Clearance (if applicable)</t>
  </si>
  <si>
    <t xml:space="preserve">CAAP Clearance </t>
  </si>
  <si>
    <t>secured</t>
  </si>
  <si>
    <t>Conceptual Design</t>
  </si>
  <si>
    <t>Secured</t>
  </si>
  <si>
    <t>2.5.3</t>
  </si>
  <si>
    <t>EGAR</t>
  </si>
  <si>
    <t>submitted with ECC</t>
  </si>
  <si>
    <t>Environmental Impact Assessment</t>
  </si>
  <si>
    <t>2.5.4</t>
  </si>
  <si>
    <t>ECC</t>
  </si>
  <si>
    <t>ECC Permit</t>
  </si>
  <si>
    <t>pending release, with draft</t>
  </si>
  <si>
    <t>SD1, etc.</t>
  </si>
  <si>
    <t>Public Hearing OCT 18; Submit by DEC 2024</t>
  </si>
  <si>
    <t>Develop Marketing Plan</t>
  </si>
  <si>
    <t>Marketing Plan</t>
  </si>
  <si>
    <t>Mktg</t>
  </si>
  <si>
    <t>for update from Yana</t>
  </si>
  <si>
    <t>6 Mos before launch</t>
  </si>
  <si>
    <t>2.6.1</t>
  </si>
  <si>
    <t xml:space="preserve">Prepare Marketing Strategy </t>
  </si>
  <si>
    <t>Develop the Marketing Strategy  base on the  Mkt Scan &amp; Competitive Analasys, Target Market &amp; Customer Personification, Market Positioning &amp; RTB's, Marketing Strategy (Launch &amp; Sustaining Plan) etc.</t>
  </si>
  <si>
    <t xml:space="preserve">Marketing Strategy </t>
  </si>
  <si>
    <t>Ongoing</t>
  </si>
  <si>
    <t>2.6.2</t>
  </si>
  <si>
    <t>Prepare Marketing Collaterals</t>
  </si>
  <si>
    <t>Digital and Physical</t>
  </si>
  <si>
    <t>Maktg Collaterals</t>
  </si>
  <si>
    <t>digital &amp; hard copies</t>
  </si>
  <si>
    <t>2.6.3</t>
  </si>
  <si>
    <t>Renders</t>
  </si>
  <si>
    <t xml:space="preserve">Website </t>
  </si>
  <si>
    <t>ongoing for finalization</t>
  </si>
  <si>
    <t>2.6.4</t>
  </si>
  <si>
    <t>Digital Materials</t>
  </si>
  <si>
    <t>Develop Sales Plan</t>
  </si>
  <si>
    <t>Sales Plan</t>
  </si>
  <si>
    <t>Sales</t>
  </si>
  <si>
    <t>2.7.1</t>
  </si>
  <si>
    <t>Sales Strategy Plan</t>
  </si>
  <si>
    <t xml:space="preserve">Define the Sales Strategy which include Sales Mo Target, Budget, Pricing Tiering, Blolcking , Payment Terms, Discounting Matrix, Commission &amp; Incentive Structure, Buyer's Promo Matrix. </t>
  </si>
  <si>
    <t>Sales Strategy</t>
  </si>
  <si>
    <t>Delayed - included in bplan</t>
  </si>
  <si>
    <t>2.7.2</t>
  </si>
  <si>
    <t>Sales Plantilla and Training Plan</t>
  </si>
  <si>
    <t xml:space="preserve">Present the Sales Organization Structure &amp;  Plantilla for whole project with Budget which include the  Training Plan (Calendar Plan, Curricullum) </t>
  </si>
  <si>
    <t xml:space="preserve">Sales Workforce Plan </t>
  </si>
  <si>
    <t>HR</t>
  </si>
  <si>
    <t>Done - onboarding already</t>
  </si>
  <si>
    <t>2.7.3</t>
  </si>
  <si>
    <t>Sales Policies and Procedures</t>
  </si>
  <si>
    <t>Sales Policies and Procedures for , Promos, Discounting, Payment, Brokers' Commission etc.</t>
  </si>
  <si>
    <t>Sales Manual</t>
  </si>
  <si>
    <t>Existing</t>
  </si>
  <si>
    <t>Sales Documentation Plan</t>
  </si>
  <si>
    <t>Sales Admin</t>
  </si>
  <si>
    <t>Prepare the Std Buyers' Documentations</t>
  </si>
  <si>
    <t>Prepare all  Buyer's Documents required for selling which include Customer Registration Form, Data Privacy Form, Buyer Information Sheet,  Master Deed, Declaration of Restriction, Reservation Agreement, Contract to Sell, DOAS,   and other standard Letters (Welcome &amp; Thank You )</t>
  </si>
  <si>
    <t>Customer Registration Form, Data Privacy Form, Buyer Information Sheet,  Master Deed, Declaration of Restriction, Reservation Agreement, Contract to Sell, DOAS</t>
  </si>
  <si>
    <t>3 Mos before launch</t>
  </si>
  <si>
    <t>Master Deed &amp; Declaration of Restrictions</t>
  </si>
  <si>
    <t>AOI &amp; By-Laws, Condo Corp, Project Accreditation from Banks</t>
  </si>
  <si>
    <t>MDDR Drafting &amp; Execution</t>
  </si>
  <si>
    <t>Done</t>
  </si>
  <si>
    <t>MDDR DHSUD Approval</t>
  </si>
  <si>
    <t>JVA Annotation to Titles</t>
  </si>
  <si>
    <t>MDDR Annotation to Titles</t>
  </si>
  <si>
    <t>Prepare Std Corporate Documents for Buyers for Property Mgt</t>
  </si>
  <si>
    <t>Setup Billing &amp; Collection Process</t>
  </si>
  <si>
    <t xml:space="preserve">Collection of PDC for DP; Traking and Reporting of AR ; MIS Setup </t>
  </si>
  <si>
    <t>Develop HR Plan</t>
  </si>
  <si>
    <t>2.8.1</t>
  </si>
  <si>
    <t xml:space="preserve">Workforce Planning </t>
  </si>
  <si>
    <t xml:space="preserve">Develop the Org Structure with Job Profile &amp; Competency Profile. Then populate the Manpower Loading for the whole project consolidating all Dept such as Mktg , Sales, Sales Doc'n , Construction, Finance , Customer Service  </t>
  </si>
  <si>
    <t>Org'n Structure, JP &amp; CP</t>
  </si>
  <si>
    <t>2.8.2</t>
  </si>
  <si>
    <t>Setup HR &amp; Admin Handbook for the Project</t>
  </si>
  <si>
    <t xml:space="preserve">HR &amp; Admin should be tailorfitted to the specifice project with clear Policy and Procedure which include the Timekeeping, Payroll, Office &amp; Site Administrative, Rewards (if there is) </t>
  </si>
  <si>
    <t>HR &amp; Admin Handbook</t>
  </si>
  <si>
    <t>2.8.3</t>
  </si>
  <si>
    <t>Training Program Plan</t>
  </si>
  <si>
    <t>Consolidate all the Training Program from Sales, Construction, Customer Service &amp; Property Management . Make sure the this is being performed accordingly by corresponging Dept.</t>
  </si>
  <si>
    <t>Develop Financial Plan</t>
  </si>
  <si>
    <t>Need to create standardized contents for this. Include base, best worst
Proposed inclusions:
(1) Projected Investment and Funding Sources, (2) Assumptions,(3) Financial Model (projections) - AOP of the Project  
, Cashflow Statement, Income Statement, Balance Sheet, Scenario Analysis (base, best, worst scenarios), Breakeven analysis, Tax incentives (4) Accounting and Comptrollership - General Acctg, bookkeeping, accounting process and procedures</t>
  </si>
  <si>
    <t>2.9.1</t>
  </si>
  <si>
    <t xml:space="preserve">Develop the Project Financial Model </t>
  </si>
  <si>
    <t>FR (Budget), Tax Strategy , Funding Plan</t>
  </si>
  <si>
    <t>Project Financial Plan</t>
  </si>
  <si>
    <t>Finance</t>
  </si>
  <si>
    <t>2.9.2</t>
  </si>
  <si>
    <t>Setup the Project Accounting Policy &amp; Procedure</t>
  </si>
  <si>
    <t xml:space="preserve">Setup of Financial Reporting Structure, Chart of Accts , Guidelines </t>
  </si>
  <si>
    <t>Project Acctg Manual</t>
  </si>
  <si>
    <t xml:space="preserve">Finance </t>
  </si>
  <si>
    <t>2.9.3</t>
  </si>
  <si>
    <t>Setup the ERP System</t>
  </si>
  <si>
    <t>Project ERP  System</t>
  </si>
  <si>
    <t>2.9.4</t>
  </si>
  <si>
    <t xml:space="preserve">Bank Accreditation &amp; Funding Plan </t>
  </si>
  <si>
    <t>Proj Accreditation to Banks &amp; PAG-IBIG, CTS Line, Credit Line, Devt Loan Line</t>
  </si>
  <si>
    <t>Bank Accredtation, Bank Credit Line,  Bank Loans</t>
  </si>
  <si>
    <t>improve; change to breakdown</t>
  </si>
  <si>
    <t>4 Mos before Const Comp</t>
  </si>
  <si>
    <t>2.10</t>
  </si>
  <si>
    <t>Develop Customer Service Plan</t>
  </si>
  <si>
    <t>2.11</t>
  </si>
  <si>
    <t>Develop Work Program</t>
  </si>
  <si>
    <t>2.12</t>
  </si>
  <si>
    <t>Present Project Business Plan</t>
  </si>
  <si>
    <t>Consolidation of all the aspects of plan sucs as the Techn'l, Marketing, Sales, HR &amp; Financials</t>
  </si>
  <si>
    <t>2.12.1</t>
  </si>
  <si>
    <t>Crafting of Business Plan Paper</t>
  </si>
  <si>
    <t>ongoing</t>
  </si>
  <si>
    <t>2.12.2</t>
  </si>
  <si>
    <t>Presentation to Management</t>
  </si>
  <si>
    <t>Initial Presentation</t>
  </si>
  <si>
    <t>Full Business Plan Presentation (GGA)</t>
  </si>
  <si>
    <t>2.12.3</t>
  </si>
  <si>
    <t>Full Business Plan Presentation (ESA)</t>
  </si>
  <si>
    <t>Second Pass</t>
  </si>
  <si>
    <t>2.12.4</t>
  </si>
  <si>
    <t>Presentation to Board</t>
  </si>
  <si>
    <t>for confirmation of schedule</t>
  </si>
  <si>
    <t>2.12.5</t>
  </si>
  <si>
    <t>Presentation to JV Partner</t>
  </si>
  <si>
    <t>Secure Approval (with Comments)</t>
  </si>
  <si>
    <t>Launch Memo</t>
  </si>
  <si>
    <t>done - pending implementation</t>
  </si>
  <si>
    <t xml:space="preserve"> </t>
  </si>
  <si>
    <t>EXECUTION &amp; MONITORING PHASE</t>
  </si>
  <si>
    <t>Showroom</t>
  </si>
  <si>
    <t>Secure Showroom Location</t>
  </si>
  <si>
    <t>Running Ads</t>
  </si>
  <si>
    <t>for proposal of lease rate and negotiation of final showroom location layout</t>
  </si>
  <si>
    <t>Lease Rates Negotiation</t>
  </si>
  <si>
    <t>final rates ok</t>
  </si>
  <si>
    <t>Lease Agreement Finalization</t>
  </si>
  <si>
    <t>signing sept 12</t>
  </si>
  <si>
    <t>Showroom Design</t>
  </si>
  <si>
    <t>FCD</t>
  </si>
  <si>
    <t>ongoing with MCC already</t>
  </si>
  <si>
    <t>Costing</t>
  </si>
  <si>
    <t>Showroom Permits</t>
  </si>
  <si>
    <t>Event Preparation up to event execution</t>
  </si>
  <si>
    <t>Event</t>
  </si>
  <si>
    <t>Barangay Permit</t>
  </si>
  <si>
    <t>Building Permit</t>
  </si>
  <si>
    <t>delayed</t>
  </si>
  <si>
    <t>MCC to provide lacking docs; need lease agreement</t>
  </si>
  <si>
    <t>Occupancy Permit</t>
  </si>
  <si>
    <t>based on best case projection</t>
  </si>
  <si>
    <t>Tender Process/Awarding</t>
  </si>
  <si>
    <t>Showroom Construction</t>
  </si>
  <si>
    <t>???</t>
  </si>
  <si>
    <t>best case projection</t>
  </si>
  <si>
    <t>October Day 1 based on EPC submitted work program</t>
  </si>
  <si>
    <t>Soft Mobilization</t>
  </si>
  <si>
    <t>Tree Cutting &amp; Site Clearing</t>
  </si>
  <si>
    <t>Structural Works</t>
  </si>
  <si>
    <t>Basic Architectural Works</t>
  </si>
  <si>
    <t>Site Development Works</t>
  </si>
  <si>
    <t>Carwash Removal</t>
  </si>
  <si>
    <t>Showroom Furnishing (FF&amp;E)</t>
  </si>
  <si>
    <t>Hiring &amp; Accreditation</t>
  </si>
  <si>
    <t>Employee Hires</t>
  </si>
  <si>
    <t>6 Mos before LTS release (SD)
4 Mos Before LTS release (SM)
3 Mos before LTS release (PS)</t>
  </si>
  <si>
    <t>Showroom Operational Requirements (Admin)</t>
  </si>
  <si>
    <t>Training</t>
  </si>
  <si>
    <t>Sales Platform Knowledge</t>
  </si>
  <si>
    <t>5 Mos before soft launch</t>
  </si>
  <si>
    <t xml:space="preserve">Pre Launch </t>
  </si>
  <si>
    <t xml:space="preserve">Social Media Campaign </t>
  </si>
  <si>
    <t>Opening of social media accounts and boosting of ads for the project lifetime.</t>
  </si>
  <si>
    <t>Digital Teaser Ads</t>
  </si>
  <si>
    <t>Ground Breaking Event*</t>
  </si>
  <si>
    <t>Pre Launch Sales*</t>
  </si>
  <si>
    <t>Sales Hiring/Broker Accreditation</t>
  </si>
  <si>
    <t>Sales Training/NOAH</t>
  </si>
  <si>
    <t>Project Briefing &amp; Orientation</t>
  </si>
  <si>
    <t>PKS</t>
  </si>
  <si>
    <t>Sales project Knowledge</t>
  </si>
  <si>
    <t>LOI Implementation</t>
  </si>
  <si>
    <t>LOI Ececution</t>
  </si>
  <si>
    <t>Number of LOI's</t>
  </si>
  <si>
    <t>LOI period 3 Mos before launch</t>
  </si>
  <si>
    <r>
      <rPr>
        <sz val="11"/>
        <color rgb="FFFF0000"/>
        <rFont val="Calibri Light"/>
      </rPr>
      <t xml:space="preserve">Project </t>
    </r>
    <r>
      <rPr>
        <sz val="11"/>
        <color rgb="FF000000"/>
        <rFont val="Calibri Light"/>
      </rPr>
      <t>Launch</t>
    </r>
  </si>
  <si>
    <t>Execute Marketing Plan</t>
  </si>
  <si>
    <t>16.1.1</t>
  </si>
  <si>
    <t>Digital Launch Ads</t>
  </si>
  <si>
    <t>Live/Release of Digital Materials ?????</t>
  </si>
  <si>
    <t>Social Media  Materials, Website</t>
  </si>
  <si>
    <t>16.1.2</t>
  </si>
  <si>
    <t>Lamudi Webilaunch*</t>
  </si>
  <si>
    <t>Webilaunch Event</t>
  </si>
  <si>
    <t>16.1.3</t>
  </si>
  <si>
    <t>Press/ Media Release</t>
  </si>
  <si>
    <t xml:space="preserve">Press &amp; Media release should be planned in Calendar for the period of whole project </t>
  </si>
  <si>
    <t>PR</t>
  </si>
  <si>
    <t>16.1.4</t>
  </si>
  <si>
    <t>Launch  Event*</t>
  </si>
  <si>
    <t>Event Prep up to Event Execution</t>
  </si>
  <si>
    <t>Launch Event*</t>
  </si>
  <si>
    <t>finalize date</t>
  </si>
  <si>
    <t>16.1.5</t>
  </si>
  <si>
    <t>First Open House*</t>
  </si>
  <si>
    <t>Open House*</t>
  </si>
  <si>
    <t>check showroom operational day 1</t>
  </si>
  <si>
    <t>16.1.6</t>
  </si>
  <si>
    <t>LOI Sales Conversion</t>
  </si>
  <si>
    <t>Conversion of LOI sold during the Pre-Launch with a given period of ?? Days.</t>
  </si>
  <si>
    <t>Sales Conversion</t>
  </si>
  <si>
    <t>16.1.7</t>
  </si>
  <si>
    <t>Email/Text Network Blasting</t>
  </si>
  <si>
    <t xml:space="preserve">This should be planned and executed periodically </t>
  </si>
  <si>
    <t>Customers Leads</t>
  </si>
  <si>
    <t>16.1.8</t>
  </si>
  <si>
    <t>Sales Calls &amp; Networking</t>
  </si>
  <si>
    <t xml:space="preserve">Sourcing of leads should be planned in a Calendar in multiple initiatives that include Road Shows , Corporate Sales Call etc. </t>
  </si>
  <si>
    <t>16.1.9</t>
  </si>
  <si>
    <t>Sales Presentation &amp; Tripping ?</t>
  </si>
  <si>
    <t>Client Presentations</t>
  </si>
  <si>
    <t>16.1.10</t>
  </si>
  <si>
    <t>Sales Media Bossting</t>
  </si>
  <si>
    <t>From LOI to reservation.</t>
  </si>
  <si>
    <t>Upon release of LTS</t>
  </si>
  <si>
    <t>Execute Sales Plan</t>
  </si>
  <si>
    <t>Fundraising Activities</t>
  </si>
  <si>
    <t>Project Funding</t>
  </si>
  <si>
    <t>Diana</t>
  </si>
  <si>
    <t>Kick-Off with Banks for Development Loan</t>
  </si>
  <si>
    <t>confirm steps with corpfin</t>
  </si>
  <si>
    <t>Presentations &amp; Negotiations</t>
  </si>
  <si>
    <t xml:space="preserve">Tender Process include from (1) Pre-Qualifications (2) Issue of Tender Docs (3) Receipt and Review of Tenders (4) Negotiations and Award of Contract. The Tender documents are the  (1) Terms of Reference, (2) Scope of Work (BoQ), (3) Construction Program (Project Schedule) (4) Construction Drawings , (5) Material Specidications and (6) Construction Contract . </t>
  </si>
  <si>
    <t>Conctruciton Documentation</t>
  </si>
  <si>
    <t>Development Loan Contract Signing</t>
  </si>
  <si>
    <t>First Drawdown*</t>
  </si>
  <si>
    <t>Conduct kick-off meeting together with the Contractors to define the Communication Schedules and Stakeholders .</t>
  </si>
  <si>
    <t>Minutes of Meeting; Meeting Schedules</t>
  </si>
  <si>
    <t xml:space="preserve">Construction </t>
  </si>
  <si>
    <t>Organize  Construction Management Team</t>
  </si>
  <si>
    <t>Detailed Engineering Plan</t>
  </si>
  <si>
    <t xml:space="preserve">Develop Construction Plan </t>
  </si>
  <si>
    <t>Construction Performance Review</t>
  </si>
  <si>
    <t>Tender Process</t>
  </si>
  <si>
    <t>Project Kick- Off *</t>
  </si>
  <si>
    <t>Commencement *</t>
  </si>
  <si>
    <t xml:space="preserve">Conmencement date of  construction </t>
  </si>
  <si>
    <t>na</t>
  </si>
  <si>
    <t>Top-Off*</t>
  </si>
  <si>
    <t>Last Pouring of Concrete , signifying the completion of the Structural Works. This normally comes with an event of Toping Off Ceremony with Mktg and Sales Team of the project .</t>
  </si>
  <si>
    <t>Handover of Resd'l Units  fr Contractor</t>
  </si>
  <si>
    <t xml:space="preserve">This is the start of the completion of First Residential Units with complete functional testing and punh list close out . The handover will be from Contractor to Developer . At this stage , the Units can be presented to the Bank for the Bank User Take-Out . </t>
  </si>
  <si>
    <t>Handover Form (per Unit)</t>
  </si>
  <si>
    <t>Final Testing &amp; Commissioning</t>
  </si>
  <si>
    <t>The final Testing &amp; Commissioning of  the main system which include the Mechanical , Electrical , Plumbin &amp; Fire Protection which will be presented by Contractor to Developer and to be witnessed by Property Administration .</t>
  </si>
  <si>
    <t>Certificate of Testing &amp; Commissioning</t>
  </si>
  <si>
    <t>Final Handover *</t>
  </si>
  <si>
    <t xml:space="preserve">This is the Final Acceptance of the Construction to be handed over to the Property Mgt </t>
  </si>
  <si>
    <t>Certificate of Final Acceptance</t>
  </si>
  <si>
    <t>Ops / Technical</t>
  </si>
  <si>
    <t>Construction Commisioning &amp; Handover</t>
  </si>
  <si>
    <t>Set up of Property Management Organization</t>
  </si>
  <si>
    <t>Testing and Commisioning</t>
  </si>
  <si>
    <t>Acceptance of Handover Units from Contractor</t>
  </si>
  <si>
    <t>Handover of Units to Property Management</t>
  </si>
  <si>
    <t>Property Management Team</t>
  </si>
  <si>
    <t xml:space="preserve"> T&amp;C Report</t>
  </si>
  <si>
    <t>Signed Unit Inspection Form</t>
  </si>
  <si>
    <t>COCA from Property Management</t>
  </si>
  <si>
    <t>End-User Financing/Take-Out</t>
  </si>
  <si>
    <t>3 Mos before Const Comp</t>
  </si>
  <si>
    <t>Project Accreditation to Bank &amp; HDMF</t>
  </si>
  <si>
    <t>Completion of Bank Docs of the Buyers</t>
  </si>
  <si>
    <t>Customer Folder</t>
  </si>
  <si>
    <t>7 Mos before Const Comp</t>
  </si>
  <si>
    <t>Bank/Pag-IBIG Take-out</t>
  </si>
  <si>
    <t>3 Mos after Const Comp</t>
  </si>
  <si>
    <t>TCT and Tax Dec. Transfer to Buyers</t>
  </si>
  <si>
    <t xml:space="preserve">TCT </t>
  </si>
  <si>
    <t>6 Mos after const comp</t>
  </si>
  <si>
    <t>Property Management Setup</t>
  </si>
  <si>
    <t xml:space="preserve">Setup of Property Mgt Org'n </t>
  </si>
  <si>
    <t>6 mo before const comp</t>
  </si>
  <si>
    <t>Handover of Resd' Units to Owners</t>
  </si>
  <si>
    <t>CLOSE OUT PHASE</t>
  </si>
  <si>
    <t>Property Mgt &amp; Community Relations</t>
  </si>
  <si>
    <t xml:space="preserve">Handover of Units to Owners </t>
  </si>
  <si>
    <t>Set up of Operations and Maintenance</t>
  </si>
  <si>
    <t>Upon turnover of bldg to PMO</t>
  </si>
  <si>
    <t>Setting up of HOA and Condo Corp.</t>
  </si>
  <si>
    <t>Handover of the whole property (amenities, towers, etc.</t>
  </si>
  <si>
    <t xml:space="preserve">Project Close out </t>
  </si>
  <si>
    <t>Construction Close-out</t>
  </si>
  <si>
    <t>Employees Transfer</t>
  </si>
  <si>
    <t>3 mos after selling period</t>
  </si>
  <si>
    <t>Project Financial Close-out</t>
  </si>
  <si>
    <t>Documentation Archiving</t>
  </si>
  <si>
    <t>Folders, Plans, Licences, Permits</t>
  </si>
  <si>
    <t xml:space="preserve">Regulatory and Legal </t>
  </si>
  <si>
    <t>NOTES :</t>
  </si>
  <si>
    <t xml:space="preserve">* </t>
  </si>
  <si>
    <t>Milestones . There is only one date (No Finish Date)</t>
  </si>
  <si>
    <t>Include Showroom Line Item</t>
  </si>
  <si>
    <t>GLOSSARY OF TERMS</t>
  </si>
  <si>
    <t>No.</t>
  </si>
  <si>
    <t>Term</t>
  </si>
  <si>
    <t>Definition</t>
  </si>
  <si>
    <t>No</t>
  </si>
  <si>
    <t>No refers to the WBS or activity coding which is unique for each WBS or Activity.</t>
  </si>
  <si>
    <t>Activity</t>
  </si>
  <si>
    <t>This is the column for the WBS or Activity names.</t>
  </si>
  <si>
    <t>A statement or account giving the characteristics of the Activity or WBS.</t>
  </si>
  <si>
    <t>This descibes the output/result for each activity it may be a document or thers.</t>
  </si>
  <si>
    <t>Responsible Person</t>
  </si>
  <si>
    <t>The person who has control or is incharge over the activity and who needs to make sure that the project reaches completion.</t>
  </si>
  <si>
    <t>Support Person</t>
  </si>
  <si>
    <t>The person who will assist or provide backing for the Responsible Person.</t>
  </si>
  <si>
    <t>Amount of work completed in terms of percentage.</t>
  </si>
  <si>
    <t>A required prior task or an activity that must be started or completed before another activity can begin or be completed.</t>
  </si>
  <si>
    <t>Start</t>
  </si>
  <si>
    <t>The start date of the activity.</t>
  </si>
  <si>
    <t>Finish</t>
  </si>
  <si>
    <t>The completion date of the activity.</t>
  </si>
  <si>
    <t>Duration</t>
  </si>
  <si>
    <t>This is the target time in days to complete the activity.</t>
  </si>
  <si>
    <t>This column categorizes each entry as an Activity, Sub-Activity, or Milestone to define its role within the project.</t>
  </si>
  <si>
    <t>Activity Type (A)</t>
  </si>
  <si>
    <t>Activities represent major tasks.</t>
  </si>
  <si>
    <t>Sub Activity Type (SA)</t>
  </si>
  <si>
    <t>Sub-Activities break Activities down into smaller steps.</t>
  </si>
  <si>
    <t>Milestone Type (M)</t>
  </si>
  <si>
    <t>Milestones mark significant progress points.</t>
  </si>
  <si>
    <t>Baseline 0 (BL0)</t>
  </si>
  <si>
    <t>The initial approved project schedule, serving as a reference for tracking progress, comparing planned vs. actual performance.</t>
  </si>
  <si>
    <t>Baseline 1 (BL1)</t>
  </si>
  <si>
    <t>Revised project schedule, reflecting approved changes and serving as a new tracking reference.</t>
  </si>
  <si>
    <t>Project progress.</t>
  </si>
  <si>
    <t>This pertains to the Phase in the framework.</t>
  </si>
  <si>
    <t>This pertains to the Activity in the framework. The Activity # in the Work Program should match the Activity # in the Framework</t>
  </si>
  <si>
    <t>This pertains to the Sub-Activity in the framework</t>
  </si>
  <si>
    <t>This pertains to the Detailed Activity in the framework, under the Sub-Activity.</t>
  </si>
  <si>
    <t>RASCI MATRIX</t>
  </si>
  <si>
    <t>R</t>
  </si>
  <si>
    <r>
      <rPr>
        <sz val="11"/>
        <color theme="1"/>
        <rFont val="Calibri"/>
      </rPr>
      <t>● Who needs to make sure that the project reaches completion?
● There can be</t>
    </r>
    <r>
      <rPr>
        <b/>
        <sz val="11"/>
        <color theme="1"/>
        <rFont val="Calibri Light"/>
      </rPr>
      <t xml:space="preserve"> no more than one task owner</t>
    </r>
    <r>
      <rPr>
        <sz val="11"/>
        <color theme="1"/>
        <rFont val="Calibri Light"/>
      </rPr>
      <t>. 
● This appears as "</t>
    </r>
    <r>
      <rPr>
        <b/>
        <sz val="11"/>
        <color theme="1"/>
        <rFont val="Calibri Light"/>
      </rPr>
      <t>prepared by"</t>
    </r>
    <r>
      <rPr>
        <sz val="11"/>
        <color theme="1"/>
        <rFont val="Calibri Light"/>
      </rPr>
      <t xml:space="preserve"> in the document / file.</t>
    </r>
  </si>
  <si>
    <t>Accountable</t>
  </si>
  <si>
    <r>
      <rPr>
        <sz val="11"/>
        <color theme="1"/>
        <rFont val="Calibri"/>
      </rPr>
      <t>● Who has ultimate control over the project and its resources?
● There can be</t>
    </r>
    <r>
      <rPr>
        <b/>
        <sz val="11"/>
        <color theme="1"/>
        <rFont val="Calibri Light"/>
      </rPr>
      <t xml:space="preserve"> no more than one person accountable</t>
    </r>
    <r>
      <rPr>
        <sz val="11"/>
        <color theme="1"/>
        <rFont val="Calibri Light"/>
      </rPr>
      <t>. 
● This appears as "</t>
    </r>
    <r>
      <rPr>
        <b/>
        <sz val="11"/>
        <color theme="1"/>
        <rFont val="Calibri Light"/>
      </rPr>
      <t>approved by"</t>
    </r>
    <r>
      <rPr>
        <sz val="11"/>
        <color theme="1"/>
        <rFont val="Calibri Light"/>
      </rPr>
      <t xml:space="preserve"> in the document / file.</t>
    </r>
  </si>
  <si>
    <r>
      <rPr>
        <sz val="11"/>
        <color theme="1"/>
        <rFont val="Calibri"/>
      </rPr>
      <t>● Who will provide help to responsible members?
● This is a required (or must) support task to the Responsible person in completing the work/ activity. 
● This appears as "</t>
    </r>
    <r>
      <rPr>
        <b/>
        <sz val="11"/>
        <color theme="1"/>
        <rFont val="Calibri Light"/>
      </rPr>
      <t>noted by"</t>
    </r>
    <r>
      <rPr>
        <sz val="11"/>
        <color theme="1"/>
        <rFont val="Calibri Light"/>
      </rPr>
      <t xml:space="preserve"> in the document / file to be signed off.</t>
    </r>
  </si>
  <si>
    <t>C</t>
  </si>
  <si>
    <t>Consulted</t>
  </si>
  <si>
    <r>
      <rPr>
        <sz val="11"/>
        <color theme="1"/>
        <rFont val="Calibri"/>
      </rPr>
      <t xml:space="preserve">People who provide information for the project and with whom there is two-way communication. This can be  several people, often subject matter experts. This person is not required to be part of the team to complete the task of the Responsible person, but rather an </t>
    </r>
    <r>
      <rPr>
        <b/>
        <sz val="11"/>
        <color theme="1"/>
        <rFont val="Calibri Light"/>
      </rPr>
      <t>option (as needed basis)</t>
    </r>
    <r>
      <rPr>
        <sz val="11"/>
        <color theme="1"/>
        <rFont val="Calibri Light"/>
      </rPr>
      <t xml:space="preserve"> to the responsible</t>
    </r>
  </si>
  <si>
    <t>I</t>
  </si>
  <si>
    <t>Informed</t>
  </si>
  <si>
    <t>People or stakeholders who need to be kept "in the picture." They need updates on progress or decisions, but they do not need to be formally consulted, nor do they contribute directly to the task or decision.</t>
  </si>
  <si>
    <t>Vendor / Developer's Team</t>
  </si>
  <si>
    <t>Client's Team</t>
  </si>
  <si>
    <t>Roles</t>
  </si>
  <si>
    <t xml:space="preserve">Description </t>
  </si>
  <si>
    <t>Abbreviation</t>
  </si>
  <si>
    <t>Partner Project Manager</t>
  </si>
  <si>
    <t>Oversees project delivery from vendor side, manages schedule, scope, and client coordination.</t>
  </si>
  <si>
    <t>Customer Project Manger (CPM)</t>
  </si>
  <si>
    <t>Leads the project from the customer side, manages timelines, resources, and communication with the vendor.</t>
  </si>
  <si>
    <t>Partner Functional Consultant</t>
  </si>
  <si>
    <t>Gathers and interprets client requirements, creates business logic and workflow designs.</t>
  </si>
  <si>
    <t>Customer Business Process Leads (CBPL)</t>
  </si>
  <si>
    <t>Owns specific business areas, defines processes, validates design, and ensures solution meets business needs.</t>
  </si>
  <si>
    <t>Partner Technical Support</t>
  </si>
  <si>
    <t>Handles environment setup, deployment support, and infrastructure coordination.</t>
  </si>
  <si>
    <t>Customer Technical Team Member (CTTM)</t>
  </si>
  <si>
    <t>Handles technical tasks like integration, data migration, and system setup in coordination with the vendor.</t>
  </si>
  <si>
    <t>IT</t>
  </si>
  <si>
    <t>Customer Business Process Member (CBPM)</t>
  </si>
  <si>
    <t>Supports process leads by providing operational input, assisting in testing, training, and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</si>
</sst>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
    <numFmt numFmtId="165" formatCode="[$-409]dd\-mmm\-yy"/>
    <numFmt numFmtId="166" formatCode="_-* #,##0.0_-;\-* #,##0.0_-;_-* &quot;-&quot;??_-;_-@"/>
    <numFmt numFmtId="167" formatCode="_-* #,##0.00_-;\-* #,##0.00_-;_-* &quot;-&quot;??_-;_-@"/>
    <numFmt numFmtId="168" formatCode="[$-409]d\-mmm\-yy"/>
  </numFmts>
  <fonts count="58">
    <font>
      <sz val="11"/>
      <color theme="1"/>
      <name val="Arial"/>
      <scheme val="minor"/>
    </font>
    <font>
      <b/>
      <sz val="11"/>
      <color theme="1"/>
      <name val="Calibri"/>
    </font>
    <font>
      <b/>
      <sz val="11"/>
      <color rgb="FFFF0000"/>
      <name val="Calibri"/>
    </font>
    <font>
      <sz val="11"/>
      <color theme="1"/>
      <name val="Calibri"/>
    </font>
    <font>
      <b/>
      <sz val="11"/>
      <color theme="0"/>
      <name val="Calibri"/>
    </font>
    <font>
      <b/>
      <sz val="11"/>
      <color rgb="FFFFFFFF"/>
      <name val="Calibri"/>
    </font>
    <font>
      <sz val="11"/>
      <color rgb="FFFF0000"/>
      <name val="Calibri"/>
    </font>
    <font>
      <sz val="11"/>
      <name val="Arial"/>
    </font>
    <font>
      <sz val="11"/>
      <color theme="0"/>
      <name val="Calibri"/>
    </font>
    <font>
      <sz val="11"/>
      <color rgb="FFFFFFFF"/>
      <name val="Calibri"/>
    </font>
    <font>
      <sz val="11"/>
      <color theme="1"/>
      <name val="Arial"/>
      <scheme val="minor"/>
    </font>
    <font>
      <b/>
      <sz val="12"/>
      <color theme="1"/>
      <name val="Calibri"/>
    </font>
    <font>
      <b/>
      <sz val="8"/>
      <color theme="1"/>
      <name val="Calibri"/>
    </font>
    <font>
      <b/>
      <sz val="14"/>
      <color theme="0"/>
      <name val="Calibri"/>
    </font>
    <font>
      <b/>
      <sz val="24"/>
      <color theme="0"/>
      <name val="Calibri"/>
    </font>
    <font>
      <b/>
      <sz val="8"/>
      <color theme="0"/>
      <name val="Calibri"/>
    </font>
    <font>
      <b/>
      <sz val="24"/>
      <color rgb="FFFF0000"/>
      <name val="Calibri"/>
    </font>
    <font>
      <b/>
      <sz val="16"/>
      <color theme="0"/>
      <name val="Calibri"/>
    </font>
    <font>
      <b/>
      <sz val="12"/>
      <color theme="0"/>
      <name val="Calibri"/>
    </font>
    <font>
      <b/>
      <sz val="10"/>
      <color theme="0"/>
      <name val="Calibri"/>
    </font>
    <font>
      <b/>
      <sz val="12"/>
      <color rgb="FFFF0000"/>
      <name val="Calibri"/>
    </font>
    <font>
      <b/>
      <sz val="10"/>
      <color theme="1"/>
      <name val="Calibri"/>
    </font>
    <font>
      <sz val="12"/>
      <color theme="1"/>
      <name val="Calibri"/>
    </font>
    <font>
      <sz val="8"/>
      <color theme="1"/>
      <name val="Calibri"/>
    </font>
    <font>
      <b/>
      <sz val="12"/>
      <color rgb="FFFFFFFF"/>
      <name val="Calibri"/>
    </font>
    <font>
      <b/>
      <sz val="9"/>
      <color rgb="FFFFFFFF"/>
      <name val="Calibri"/>
    </font>
    <font>
      <b/>
      <sz val="9"/>
      <color theme="0"/>
      <name val="Calibri"/>
    </font>
    <font>
      <sz val="12"/>
      <color theme="1"/>
      <name val="Noto Sans Symbols"/>
    </font>
    <font>
      <sz val="9"/>
      <color theme="1"/>
      <name val="Calibri"/>
    </font>
    <font>
      <b/>
      <sz val="9"/>
      <color theme="1"/>
      <name val="Calibri"/>
    </font>
    <font>
      <b/>
      <sz val="12"/>
      <color theme="1"/>
      <name val="Noto Sans Symbols"/>
    </font>
    <font>
      <sz val="8"/>
      <color rgb="FFFF0000"/>
      <name val="Calibri"/>
    </font>
    <font>
      <sz val="11"/>
      <color rgb="FF000000"/>
      <name val="Calibri"/>
    </font>
    <font>
      <strike/>
      <sz val="9"/>
      <color theme="1"/>
      <name val="Calibri"/>
    </font>
    <font>
      <b/>
      <strike/>
      <sz val="12"/>
      <color theme="1"/>
      <name val="Calibri"/>
    </font>
    <font>
      <strike/>
      <sz val="11"/>
      <color theme="1"/>
      <name val="Calibri"/>
    </font>
    <font>
      <strike/>
      <sz val="8"/>
      <color theme="1"/>
      <name val="Calibri"/>
    </font>
    <font>
      <b/>
      <strike/>
      <sz val="11"/>
      <color rgb="FFFFFFFF"/>
      <name val="Calibri"/>
    </font>
    <font>
      <b/>
      <strike/>
      <sz val="11"/>
      <color rgb="FFFF0000"/>
      <name val="Calibri"/>
    </font>
    <font>
      <strike/>
      <sz val="12"/>
      <color theme="1"/>
      <name val="Calibri"/>
    </font>
    <font>
      <b/>
      <strike/>
      <sz val="11"/>
      <color theme="0"/>
      <name val="Calibri"/>
    </font>
    <font>
      <strike/>
      <sz val="11"/>
      <color rgb="FFFF0000"/>
      <name val="Calibri"/>
    </font>
    <font>
      <sz val="9"/>
      <color rgb="FFFF0000"/>
      <name val="Calibri"/>
    </font>
    <font>
      <b/>
      <strike/>
      <sz val="9"/>
      <color theme="1"/>
      <name val="Calibri"/>
    </font>
    <font>
      <b/>
      <strike/>
      <sz val="11"/>
      <color theme="1"/>
      <name val="Calibri"/>
    </font>
    <font>
      <b/>
      <strike/>
      <sz val="8"/>
      <color theme="1"/>
      <name val="Calibri"/>
    </font>
    <font>
      <strike/>
      <sz val="11"/>
      <color rgb="FF000000"/>
      <name val="Calibri"/>
    </font>
    <font>
      <b/>
      <strike/>
      <sz val="9"/>
      <color rgb="FFFF0000"/>
      <name val="Calibri"/>
    </font>
    <font>
      <b/>
      <strike/>
      <sz val="12"/>
      <color rgb="FFFF0000"/>
      <name val="Calibri"/>
    </font>
    <font>
      <b/>
      <strike/>
      <sz val="8"/>
      <color rgb="FFFF0000"/>
      <name val="Calibri"/>
    </font>
    <font>
      <strike/>
      <sz val="12"/>
      <color theme="1"/>
      <name val="Noto Sans Symbols"/>
    </font>
    <font>
      <sz val="12"/>
      <color rgb="FFFF0000"/>
      <name val="Noto Sans Symbols"/>
    </font>
    <font>
      <b/>
      <sz val="11"/>
      <color rgb="FF000000"/>
      <name val="Calibri"/>
    </font>
    <font>
      <b/>
      <sz val="16"/>
      <color rgb="FFFFFFFF"/>
      <name val="Calibri"/>
    </font>
    <font>
      <sz val="11"/>
      <color rgb="FFFF0000"/>
      <name val="Calibri Light"/>
    </font>
    <font>
      <sz val="11"/>
      <color rgb="FF000000"/>
      <name val="Calibri Light"/>
    </font>
    <font>
      <b/>
      <sz val="11"/>
      <color theme="1"/>
      <name val="Calibri Light"/>
    </font>
    <font>
      <sz val="11"/>
      <color theme="1"/>
      <name val="Calibri Light"/>
    </font>
  </fonts>
  <fills count="14">
    <fill>
      <patternFill patternType="none"/>
    </fill>
    <fill>
      <patternFill patternType="gray125"/>
    </fill>
    <fill>
      <patternFill patternType="solid">
        <fgColor rgb="FFFF0000"/>
        <bgColor rgb="FFFF0000"/>
      </patternFill>
    </fill>
    <fill>
      <patternFill patternType="solid">
        <fgColor rgb="FF595959"/>
        <bgColor rgb="FF595959"/>
      </patternFill>
    </fill>
    <fill>
      <patternFill patternType="solid">
        <fgColor rgb="FF7F7F7F"/>
        <bgColor rgb="FF7F7F7F"/>
      </patternFill>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FFDEEAF6"/>
        <bgColor rgb="FFDEEAF6"/>
      </patternFill>
    </fill>
    <fill>
      <patternFill patternType="solid">
        <fgColor rgb="FFFEF2CB"/>
        <bgColor rgb="FFFEF2CB"/>
      </patternFill>
    </fill>
    <fill>
      <patternFill patternType="solid">
        <fgColor rgb="FFFFFF00"/>
        <bgColor rgb="FFFFFF00"/>
      </patternFill>
    </fill>
    <fill>
      <patternFill patternType="solid">
        <fgColor rgb="FFFFCDCC"/>
        <bgColor rgb="FFFFCDCC"/>
      </patternFill>
    </fill>
    <fill>
      <patternFill patternType="solid">
        <fgColor rgb="FFD9D9D9"/>
        <bgColor rgb="FFD9D9D9"/>
      </patternFill>
    </fill>
    <fill>
      <patternFill patternType="solid">
        <fgColor rgb="FFFFFF00"/>
        <bgColor indexed="64"/>
      </patternFill>
    </fill>
  </fills>
  <borders count="19">
    <border>
      <left/>
      <right/>
      <top/>
      <bottom/>
      <diagonal/>
    </border>
    <border>
      <left style="hair">
        <color rgb="FF000000"/>
      </left>
      <right style="hair">
        <color rgb="FF000000"/>
      </right>
      <top style="hair">
        <color rgb="FF000000"/>
      </top>
      <bottom style="hair">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21">
    <xf numFmtId="0" fontId="0" fillId="0" borderId="0" xfId="0"/>
    <xf numFmtId="0" fontId="1" fillId="0" borderId="0" xfId="0" applyFont="1" applyAlignment="1">
      <alignment horizontal="left"/>
    </xf>
    <xf numFmtId="0" fontId="1" fillId="0" borderId="0" xfId="0" applyFont="1" applyAlignment="1">
      <alignment horizontal="left" wrapText="1"/>
    </xf>
    <xf numFmtId="0" fontId="1"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center" wrapText="1"/>
    </xf>
    <xf numFmtId="164" fontId="1" fillId="0" borderId="0" xfId="0" applyNumberFormat="1" applyFont="1" applyAlignment="1">
      <alignment horizontal="center" wrapText="1"/>
    </xf>
    <xf numFmtId="0" fontId="2" fillId="0" borderId="0" xfId="0" applyFont="1" applyAlignment="1">
      <alignment horizontal="center" wrapText="1"/>
    </xf>
    <xf numFmtId="164" fontId="1" fillId="0" borderId="0" xfId="0" applyNumberFormat="1" applyFont="1" applyAlignment="1">
      <alignment wrapText="1"/>
    </xf>
    <xf numFmtId="164" fontId="3" fillId="0" borderId="0" xfId="0" applyNumberFormat="1" applyFont="1" applyAlignment="1">
      <alignment horizontal="center" vertical="center"/>
    </xf>
    <xf numFmtId="0" fontId="4" fillId="0" borderId="0" xfId="0" applyFont="1" applyAlignment="1">
      <alignment horizontal="center"/>
    </xf>
    <xf numFmtId="0" fontId="1" fillId="0" borderId="0" xfId="0" applyFont="1" applyAlignment="1">
      <alignment horizontal="left" vertical="center"/>
    </xf>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center" vertical="top" wrapText="1"/>
    </xf>
    <xf numFmtId="0" fontId="1" fillId="0" borderId="1" xfId="0" applyFont="1" applyBorder="1" applyAlignment="1">
      <alignment vertical="top"/>
    </xf>
    <xf numFmtId="0" fontId="5" fillId="2" borderId="1" xfId="0" applyFont="1" applyFill="1" applyBorder="1" applyAlignment="1">
      <alignment horizontal="center" vertical="top"/>
    </xf>
    <xf numFmtId="0" fontId="1" fillId="0" borderId="0" xfId="0" applyFont="1" applyAlignment="1">
      <alignment vertical="top"/>
    </xf>
    <xf numFmtId="0" fontId="6" fillId="0" borderId="0" xfId="0" applyFont="1" applyAlignment="1">
      <alignment vertical="top"/>
    </xf>
    <xf numFmtId="9" fontId="3" fillId="0" borderId="0" xfId="0" applyNumberFormat="1" applyFont="1" applyAlignment="1">
      <alignment vertical="top"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xf>
    <xf numFmtId="0" fontId="2" fillId="0" borderId="0" xfId="0" applyFont="1" applyAlignment="1">
      <alignment vertical="center" wrapText="1"/>
    </xf>
    <xf numFmtId="0" fontId="5" fillId="3" borderId="3" xfId="0" applyFont="1" applyFill="1" applyBorder="1" applyAlignment="1">
      <alignment horizontal="center" vertical="center"/>
    </xf>
    <xf numFmtId="0" fontId="5" fillId="0" borderId="5" xfId="0" applyFont="1" applyBorder="1" applyAlignment="1">
      <alignment vertical="center" wrapText="1"/>
    </xf>
    <xf numFmtId="0" fontId="2" fillId="0" borderId="5" xfId="0" applyFont="1" applyBorder="1" applyAlignment="1">
      <alignment vertical="center" wrapText="1"/>
    </xf>
    <xf numFmtId="0" fontId="3" fillId="0" borderId="0" xfId="0" applyFont="1"/>
    <xf numFmtId="0" fontId="3" fillId="0" borderId="0" xfId="0" applyFont="1" applyAlignment="1">
      <alignment vertical="center" wrapText="1"/>
    </xf>
    <xf numFmtId="0" fontId="3" fillId="0" borderId="6" xfId="0" applyFont="1" applyBorder="1" applyAlignment="1">
      <alignment vertical="center" wrapText="1"/>
    </xf>
    <xf numFmtId="15" fontId="3" fillId="0" borderId="7"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1" fillId="0" borderId="0" xfId="0" applyFont="1" applyAlignment="1">
      <alignment vertical="center" wrapText="1"/>
    </xf>
    <xf numFmtId="0" fontId="1" fillId="0" borderId="6" xfId="0" applyFont="1" applyBorder="1" applyAlignment="1">
      <alignment vertical="center" wrapText="1"/>
    </xf>
    <xf numFmtId="0" fontId="3" fillId="0" borderId="0" xfId="0" applyFont="1" applyAlignment="1">
      <alignment horizontal="left" vertical="center"/>
    </xf>
    <xf numFmtId="166" fontId="3" fillId="0" borderId="0" xfId="0" applyNumberFormat="1" applyFont="1" applyAlignment="1">
      <alignment horizontal="left" vertical="center" wrapText="1"/>
    </xf>
    <xf numFmtId="166" fontId="3" fillId="0" borderId="6" xfId="0" applyNumberFormat="1" applyFont="1" applyBorder="1" applyAlignment="1">
      <alignment horizontal="left" vertical="center"/>
    </xf>
    <xf numFmtId="0" fontId="3" fillId="0" borderId="7" xfId="0" applyFont="1" applyBorder="1" applyAlignment="1">
      <alignment horizontal="center" vertical="center"/>
    </xf>
    <xf numFmtId="0" fontId="3" fillId="0" borderId="0" xfId="0" applyFont="1" applyAlignment="1">
      <alignment horizontal="center"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167" fontId="3" fillId="0" borderId="7" xfId="0" applyNumberFormat="1" applyFont="1" applyBorder="1" applyAlignment="1">
      <alignment horizontal="left" vertical="center" wrapText="1"/>
    </xf>
    <xf numFmtId="0" fontId="3" fillId="7" borderId="7" xfId="0" applyFont="1" applyFill="1" applyBorder="1" applyAlignment="1">
      <alignment horizontal="center" vertical="center" wrapText="1"/>
    </xf>
    <xf numFmtId="15" fontId="1" fillId="0" borderId="7" xfId="0" applyNumberFormat="1" applyFont="1" applyBorder="1" applyAlignment="1">
      <alignment horizontal="center" vertical="center" wrapText="1"/>
    </xf>
    <xf numFmtId="0" fontId="3" fillId="0" borderId="6" xfId="0" applyFont="1" applyBorder="1" applyAlignment="1">
      <alignment horizontal="center" vertical="center" wrapText="1"/>
    </xf>
    <xf numFmtId="9" fontId="3" fillId="0" borderId="7" xfId="0" applyNumberFormat="1" applyFont="1" applyBorder="1" applyAlignment="1">
      <alignment horizontal="center" vertical="center" wrapText="1"/>
    </xf>
    <xf numFmtId="0" fontId="3" fillId="0" borderId="0" xfId="0" applyFont="1" applyAlignment="1">
      <alignment horizontal="left" vertical="center" wrapText="1"/>
    </xf>
    <xf numFmtId="0" fontId="10" fillId="0" borderId="0" xfId="0" applyFont="1"/>
    <xf numFmtId="0" fontId="5"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6" xfId="0" applyFont="1" applyBorder="1" applyAlignment="1">
      <alignment vertical="center"/>
    </xf>
    <xf numFmtId="15" fontId="3" fillId="7" borderId="7" xfId="0" applyNumberFormat="1" applyFont="1" applyFill="1" applyBorder="1" applyAlignment="1">
      <alignment horizontal="center" vertical="center" wrapText="1"/>
    </xf>
    <xf numFmtId="0" fontId="1" fillId="5" borderId="8" xfId="0" applyFont="1" applyFill="1" applyBorder="1" applyAlignment="1">
      <alignment horizontal="center" vertical="center" wrapText="1"/>
    </xf>
    <xf numFmtId="166" fontId="3" fillId="0" borderId="10" xfId="0" applyNumberFormat="1" applyFont="1" applyBorder="1" applyAlignment="1">
      <alignment horizontal="left" vertical="center" wrapText="1"/>
    </xf>
    <xf numFmtId="0" fontId="1" fillId="0" borderId="10" xfId="0" applyFont="1" applyBorder="1" applyAlignment="1">
      <alignment horizontal="left" vertical="center"/>
    </xf>
    <xf numFmtId="0" fontId="10" fillId="0" borderId="10" xfId="0" applyFont="1" applyBorder="1"/>
    <xf numFmtId="0" fontId="3" fillId="0" borderId="10" xfId="0" applyFont="1" applyBorder="1" applyAlignment="1">
      <alignment horizontal="left" vertical="center"/>
    </xf>
    <xf numFmtId="0" fontId="3" fillId="0" borderId="10" xfId="0" applyFont="1" applyBorder="1" applyAlignment="1">
      <alignment horizontal="center"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2" fillId="0" borderId="10" xfId="0" applyFont="1" applyBorder="1" applyAlignment="1">
      <alignment vertical="center" wrapText="1"/>
    </xf>
    <xf numFmtId="9" fontId="3" fillId="6" borderId="11" xfId="0" applyNumberFormat="1" applyFont="1" applyFill="1" applyBorder="1" applyAlignment="1">
      <alignment horizontal="center" vertical="center" wrapText="1"/>
    </xf>
    <xf numFmtId="0" fontId="3" fillId="6" borderId="11" xfId="0" applyFont="1" applyFill="1" applyBorder="1" applyAlignment="1">
      <alignment horizontal="left" vertical="center" wrapText="1"/>
    </xf>
    <xf numFmtId="0" fontId="3" fillId="6" borderId="12" xfId="0" applyFont="1" applyFill="1" applyBorder="1" applyAlignment="1">
      <alignment horizontal="left" vertical="center" wrapText="1"/>
    </xf>
    <xf numFmtId="0" fontId="4" fillId="0" borderId="0" xfId="0" applyFont="1" applyAlignment="1">
      <alignment horizontal="left"/>
    </xf>
    <xf numFmtId="0" fontId="4" fillId="0" borderId="0" xfId="0" applyFont="1" applyAlignment="1">
      <alignment horizontal="center" wrapText="1"/>
    </xf>
    <xf numFmtId="0" fontId="2" fillId="0" borderId="0" xfId="0" applyFont="1" applyAlignment="1">
      <alignment horizontal="center"/>
    </xf>
    <xf numFmtId="0" fontId="4" fillId="0" borderId="5" xfId="0" applyFont="1" applyBorder="1" applyAlignment="1">
      <alignment horizontal="center"/>
    </xf>
    <xf numFmtId="0" fontId="3" fillId="0" borderId="0" xfId="0" applyFont="1" applyAlignment="1">
      <alignment horizontal="center"/>
    </xf>
    <xf numFmtId="0" fontId="3" fillId="0" borderId="0" xfId="0" applyFont="1" applyAlignment="1">
      <alignment horizontal="center" wrapText="1"/>
    </xf>
    <xf numFmtId="0" fontId="6" fillId="0" borderId="0" xfId="0" applyFont="1" applyAlignment="1">
      <alignment horizontal="center" wrapText="1"/>
    </xf>
    <xf numFmtId="0" fontId="3" fillId="0" borderId="0" xfId="0" applyFont="1" applyAlignment="1">
      <alignment wrapText="1"/>
    </xf>
    <xf numFmtId="0" fontId="11" fillId="0" borderId="0" xfId="0" applyFont="1"/>
    <xf numFmtId="0" fontId="12" fillId="0" borderId="0" xfId="0" applyFont="1" applyAlignment="1">
      <alignment horizontal="center" wrapText="1"/>
    </xf>
    <xf numFmtId="0" fontId="21" fillId="0" borderId="0" xfId="0" applyFont="1" applyAlignment="1">
      <alignment horizontal="left" vertical="center"/>
    </xf>
    <xf numFmtId="0" fontId="22" fillId="0" borderId="0" xfId="0" applyFont="1" applyAlignment="1">
      <alignment vertical="top"/>
    </xf>
    <xf numFmtId="0" fontId="23" fillId="0" borderId="0" xfId="0" applyFont="1" applyAlignment="1">
      <alignment horizontal="center" vertical="top" wrapText="1"/>
    </xf>
    <xf numFmtId="0" fontId="18" fillId="2" borderId="1" xfId="0" applyFont="1" applyFill="1" applyBorder="1" applyAlignment="1">
      <alignment horizontal="center" vertical="top"/>
    </xf>
    <xf numFmtId="0" fontId="24" fillId="0" borderId="0" xfId="0" applyFont="1" applyAlignment="1">
      <alignment horizontal="center" vertical="center"/>
    </xf>
    <xf numFmtId="0" fontId="27" fillId="0" borderId="0" xfId="0" applyFont="1" applyAlignment="1">
      <alignment vertical="center" wrapText="1"/>
    </xf>
    <xf numFmtId="0" fontId="27" fillId="0" borderId="6" xfId="0" applyFont="1" applyBorder="1" applyAlignment="1">
      <alignment vertical="center" wrapText="1"/>
    </xf>
    <xf numFmtId="166" fontId="28" fillId="0" borderId="0" xfId="0" applyNumberFormat="1" applyFont="1" applyAlignment="1">
      <alignment horizontal="left" vertical="center" wrapText="1"/>
    </xf>
    <xf numFmtId="166" fontId="28" fillId="0" borderId="6" xfId="0" applyNumberFormat="1" applyFont="1" applyBorder="1" applyAlignment="1">
      <alignment horizontal="left" vertical="center"/>
    </xf>
    <xf numFmtId="0" fontId="11" fillId="0" borderId="0" xfId="0" applyFont="1" applyAlignment="1">
      <alignment horizontal="left" vertical="center"/>
    </xf>
    <xf numFmtId="0" fontId="23" fillId="0" borderId="7" xfId="0" applyFont="1" applyBorder="1" applyAlignment="1">
      <alignment horizontal="left" vertical="center" wrapText="1"/>
    </xf>
    <xf numFmtId="0" fontId="23" fillId="0" borderId="7" xfId="0" applyFont="1" applyBorder="1" applyAlignment="1">
      <alignment horizontal="center" vertical="center" wrapText="1"/>
    </xf>
    <xf numFmtId="9" fontId="3" fillId="0" borderId="6" xfId="0" applyNumberFormat="1" applyFont="1" applyBorder="1" applyAlignment="1">
      <alignment horizontal="center" vertical="center" wrapText="1"/>
    </xf>
    <xf numFmtId="0" fontId="22" fillId="0" borderId="0" xfId="0" applyFont="1" applyAlignment="1">
      <alignment vertical="center" wrapText="1"/>
    </xf>
    <xf numFmtId="0" fontId="22" fillId="0" borderId="6" xfId="0" applyFont="1" applyBorder="1" applyAlignment="1">
      <alignment vertical="center" wrapText="1"/>
    </xf>
    <xf numFmtId="0" fontId="6" fillId="0" borderId="0" xfId="0" applyFont="1" applyAlignment="1">
      <alignment horizontal="left" vertical="center"/>
    </xf>
    <xf numFmtId="0" fontId="30" fillId="0" borderId="0" xfId="0" applyFont="1" applyAlignment="1">
      <alignment vertical="center" wrapText="1"/>
    </xf>
    <xf numFmtId="0" fontId="30" fillId="0" borderId="6" xfId="0" applyFont="1" applyBorder="1" applyAlignment="1">
      <alignment vertical="center" wrapText="1"/>
    </xf>
    <xf numFmtId="166" fontId="29" fillId="0" borderId="0" xfId="0" applyNumberFormat="1" applyFont="1" applyAlignment="1">
      <alignment horizontal="left" vertical="center" wrapText="1"/>
    </xf>
    <xf numFmtId="166" fontId="29" fillId="0" borderId="6" xfId="0" applyNumberFormat="1" applyFont="1" applyBorder="1" applyAlignment="1">
      <alignment horizontal="left" vertical="center"/>
    </xf>
    <xf numFmtId="0" fontId="12" fillId="0" borderId="7" xfId="0" applyFont="1" applyBorder="1" applyAlignment="1">
      <alignment horizontal="center" vertical="center" wrapText="1"/>
    </xf>
    <xf numFmtId="0" fontId="1" fillId="0" borderId="7" xfId="0" applyFont="1" applyBorder="1" applyAlignment="1">
      <alignment horizontal="left" vertical="center" wrapText="1"/>
    </xf>
    <xf numFmtId="9" fontId="1" fillId="0" borderId="7" xfId="0" applyNumberFormat="1" applyFont="1" applyBorder="1" applyAlignment="1">
      <alignment horizontal="center" vertical="center" wrapText="1"/>
    </xf>
    <xf numFmtId="0" fontId="1" fillId="0" borderId="6" xfId="0" applyFont="1" applyBorder="1" applyAlignment="1">
      <alignment horizontal="left" vertical="center" wrapText="1"/>
    </xf>
    <xf numFmtId="0" fontId="6" fillId="0" borderId="7" xfId="0" applyFont="1" applyBorder="1" applyAlignment="1">
      <alignment horizontal="center" vertical="center" wrapText="1"/>
    </xf>
    <xf numFmtId="15" fontId="6" fillId="0" borderId="7" xfId="0" applyNumberFormat="1" applyFont="1" applyBorder="1" applyAlignment="1">
      <alignment horizontal="center" vertical="center" wrapText="1"/>
    </xf>
    <xf numFmtId="0" fontId="31" fillId="0" borderId="7" xfId="0" applyFont="1" applyBorder="1" applyAlignment="1">
      <alignment horizontal="left" vertical="center" wrapText="1"/>
    </xf>
    <xf numFmtId="0" fontId="31" fillId="0" borderId="7" xfId="0" applyFont="1" applyBorder="1" applyAlignment="1">
      <alignment horizontal="center" vertical="center" wrapText="1"/>
    </xf>
    <xf numFmtId="0" fontId="23" fillId="0" borderId="7" xfId="0" applyFont="1" applyBorder="1" applyAlignment="1">
      <alignment wrapText="1"/>
    </xf>
    <xf numFmtId="0" fontId="22" fillId="0" borderId="0" xfId="0" applyFont="1" applyAlignment="1">
      <alignment horizontal="left" vertical="center"/>
    </xf>
    <xf numFmtId="9" fontId="3" fillId="0" borderId="7" xfId="0" applyNumberFormat="1" applyFont="1" applyBorder="1" applyAlignment="1">
      <alignment horizontal="left" vertical="center" wrapText="1"/>
    </xf>
    <xf numFmtId="15" fontId="3" fillId="0" borderId="0" xfId="0" applyNumberFormat="1" applyFont="1" applyAlignment="1">
      <alignment horizontal="center" vertical="center" wrapText="1"/>
    </xf>
    <xf numFmtId="0" fontId="32" fillId="0" borderId="0" xfId="0" applyFont="1" applyAlignment="1">
      <alignment horizontal="left" vertical="center"/>
    </xf>
    <xf numFmtId="0" fontId="23" fillId="0" borderId="7" xfId="0" applyFont="1" applyBorder="1" applyAlignment="1">
      <alignment horizontal="left" vertical="center"/>
    </xf>
    <xf numFmtId="0" fontId="3" fillId="0" borderId="7" xfId="0" applyFont="1" applyBorder="1" applyAlignment="1">
      <alignment horizontal="left" vertical="center"/>
    </xf>
    <xf numFmtId="9" fontId="3" fillId="0" borderId="7" xfId="0" applyNumberFormat="1" applyFont="1" applyBorder="1" applyAlignment="1">
      <alignment horizontal="center" vertical="center"/>
    </xf>
    <xf numFmtId="0" fontId="3" fillId="0" borderId="6" xfId="0" applyFont="1" applyBorder="1" applyAlignment="1">
      <alignment horizontal="left" vertical="center"/>
    </xf>
    <xf numFmtId="0" fontId="27" fillId="0" borderId="0" xfId="0" applyFont="1" applyAlignment="1">
      <alignment vertical="center"/>
    </xf>
    <xf numFmtId="0" fontId="27" fillId="0" borderId="6" xfId="0" applyFont="1" applyBorder="1" applyAlignment="1">
      <alignment vertical="center"/>
    </xf>
    <xf numFmtId="166" fontId="33" fillId="0" borderId="0" xfId="0" applyNumberFormat="1" applyFont="1" applyAlignment="1">
      <alignment horizontal="left" vertical="center" wrapText="1"/>
    </xf>
    <xf numFmtId="166" fontId="33" fillId="0" borderId="6" xfId="0" applyNumberFormat="1" applyFont="1" applyBorder="1" applyAlignment="1">
      <alignment horizontal="left" vertical="center"/>
    </xf>
    <xf numFmtId="0" fontId="34" fillId="0" borderId="0" xfId="0" applyFont="1" applyAlignment="1">
      <alignment horizontal="left" vertical="center"/>
    </xf>
    <xf numFmtId="0" fontId="35" fillId="0" borderId="0" xfId="0" applyFont="1" applyAlignment="1">
      <alignment horizontal="left" vertical="center"/>
    </xf>
    <xf numFmtId="0" fontId="35" fillId="0" borderId="7" xfId="0" applyFont="1" applyBorder="1" applyAlignment="1">
      <alignment horizontal="center" vertical="center"/>
    </xf>
    <xf numFmtId="0" fontId="36" fillId="0" borderId="7" xfId="0" applyFont="1" applyBorder="1" applyAlignment="1">
      <alignment horizontal="left" vertical="center" wrapText="1"/>
    </xf>
    <xf numFmtId="0" fontId="36" fillId="0" borderId="7" xfId="0" applyFont="1" applyBorder="1" applyAlignment="1">
      <alignment horizontal="center" vertical="center" wrapText="1"/>
    </xf>
    <xf numFmtId="0" fontId="35" fillId="0" borderId="7" xfId="0" applyFont="1" applyBorder="1" applyAlignment="1">
      <alignment horizontal="center" vertical="center" wrapText="1"/>
    </xf>
    <xf numFmtId="0" fontId="37" fillId="0" borderId="0" xfId="0" applyFont="1" applyAlignment="1">
      <alignment vertical="center" wrapText="1"/>
    </xf>
    <xf numFmtId="15" fontId="35" fillId="0" borderId="7" xfId="0" applyNumberFormat="1" applyFont="1" applyBorder="1" applyAlignment="1">
      <alignment horizontal="center" vertical="center" wrapText="1"/>
    </xf>
    <xf numFmtId="0" fontId="38" fillId="0" borderId="0" xfId="0" applyFont="1" applyAlignment="1">
      <alignment vertical="center" wrapText="1"/>
    </xf>
    <xf numFmtId="0" fontId="35" fillId="0" borderId="7" xfId="0" applyFont="1" applyBorder="1" applyAlignment="1">
      <alignment horizontal="left" vertical="center" wrapText="1"/>
    </xf>
    <xf numFmtId="9" fontId="35" fillId="0" borderId="7" xfId="0" applyNumberFormat="1" applyFont="1" applyBorder="1" applyAlignment="1">
      <alignment horizontal="center" vertical="center" wrapText="1"/>
    </xf>
    <xf numFmtId="0" fontId="35" fillId="0" borderId="6" xfId="0" applyFont="1" applyBorder="1" applyAlignment="1">
      <alignment horizontal="left" vertical="center" wrapText="1"/>
    </xf>
    <xf numFmtId="0" fontId="35" fillId="0" borderId="0" xfId="0" applyFont="1"/>
    <xf numFmtId="0" fontId="39" fillId="0" borderId="0" xfId="0" applyFont="1" applyAlignment="1">
      <alignment vertical="center" wrapText="1"/>
    </xf>
    <xf numFmtId="0" fontId="39" fillId="0" borderId="6" xfId="0" applyFont="1" applyBorder="1" applyAlignment="1">
      <alignment vertical="center" wrapText="1"/>
    </xf>
    <xf numFmtId="0" fontId="40" fillId="0" borderId="0" xfId="0" applyFont="1" applyAlignment="1">
      <alignment horizontal="center"/>
    </xf>
    <xf numFmtId="15" fontId="35" fillId="0" borderId="7" xfId="0" applyNumberFormat="1" applyFont="1" applyBorder="1" applyAlignment="1">
      <alignment horizontal="center" vertical="center"/>
    </xf>
    <xf numFmtId="0" fontId="41" fillId="0" borderId="0" xfId="0" applyFont="1" applyAlignment="1">
      <alignment horizontal="left" vertical="center"/>
    </xf>
    <xf numFmtId="166" fontId="42" fillId="0" borderId="0" xfId="0" applyNumberFormat="1" applyFont="1" applyAlignment="1">
      <alignment horizontal="left" vertical="center" wrapText="1"/>
    </xf>
    <xf numFmtId="166" fontId="42" fillId="0" borderId="6" xfId="0" applyNumberFormat="1" applyFont="1" applyBorder="1" applyAlignment="1">
      <alignment horizontal="left" vertical="center"/>
    </xf>
    <xf numFmtId="0" fontId="20" fillId="0" borderId="0" xfId="0" applyFont="1" applyAlignment="1">
      <alignment horizontal="left" vertical="center"/>
    </xf>
    <xf numFmtId="15" fontId="3" fillId="0" borderId="7" xfId="0" applyNumberFormat="1" applyFont="1" applyBorder="1" applyAlignment="1">
      <alignment horizontal="center" vertical="center"/>
    </xf>
    <xf numFmtId="0" fontId="23" fillId="0" borderId="6" xfId="0" applyFont="1" applyBorder="1" applyAlignment="1">
      <alignment horizontal="left" vertical="center" wrapText="1"/>
    </xf>
    <xf numFmtId="0" fontId="23" fillId="0" borderId="0" xfId="0" applyFont="1" applyAlignment="1">
      <alignment horizontal="center" vertical="center" wrapText="1"/>
    </xf>
    <xf numFmtId="166" fontId="28" fillId="0" borderId="6" xfId="0" applyNumberFormat="1" applyFont="1" applyBorder="1" applyAlignment="1">
      <alignment horizontal="left" vertical="center" wrapText="1"/>
    </xf>
    <xf numFmtId="0" fontId="36" fillId="0" borderId="0" xfId="0" applyFont="1" applyAlignment="1">
      <alignment horizontal="center" vertical="center" wrapText="1"/>
    </xf>
    <xf numFmtId="0" fontId="34" fillId="0" borderId="0" xfId="0" applyFont="1" applyAlignment="1">
      <alignment vertical="center" wrapText="1"/>
    </xf>
    <xf numFmtId="0" fontId="34" fillId="0" borderId="6" xfId="0" applyFont="1" applyBorder="1" applyAlignment="1">
      <alignment vertical="center" wrapText="1"/>
    </xf>
    <xf numFmtId="0" fontId="35" fillId="0" borderId="6" xfId="0" applyFont="1" applyBorder="1" applyAlignment="1">
      <alignment horizontal="center" vertical="center" wrapText="1"/>
    </xf>
    <xf numFmtId="0" fontId="46" fillId="0" borderId="0" xfId="0" applyFont="1" applyAlignment="1">
      <alignment horizontal="left" vertical="center"/>
    </xf>
    <xf numFmtId="0" fontId="46" fillId="0" borderId="0" xfId="0" applyFont="1"/>
    <xf numFmtId="15" fontId="35" fillId="7" borderId="13" xfId="0" applyNumberFormat="1" applyFont="1" applyFill="1" applyBorder="1" applyAlignment="1">
      <alignment horizontal="center" vertical="center" wrapText="1"/>
    </xf>
    <xf numFmtId="0" fontId="41" fillId="0" borderId="0" xfId="0" applyFont="1"/>
    <xf numFmtId="166" fontId="33" fillId="0" borderId="0" xfId="0" applyNumberFormat="1" applyFont="1" applyAlignment="1">
      <alignment horizontal="right" vertical="center" wrapText="1"/>
    </xf>
    <xf numFmtId="167" fontId="33" fillId="0" borderId="0" xfId="0" applyNumberFormat="1" applyFont="1" applyAlignment="1">
      <alignment horizontal="right" vertical="center" wrapText="1"/>
    </xf>
    <xf numFmtId="0" fontId="50" fillId="0" borderId="0" xfId="0" applyFont="1" applyAlignment="1">
      <alignment vertical="center" wrapText="1"/>
    </xf>
    <xf numFmtId="0" fontId="50" fillId="0" borderId="6" xfId="0" applyFont="1" applyBorder="1" applyAlignment="1">
      <alignment vertical="center" wrapText="1"/>
    </xf>
    <xf numFmtId="0" fontId="12" fillId="0" borderId="7" xfId="0" applyFont="1" applyBorder="1" applyAlignment="1">
      <alignment horizontal="left" vertical="center" wrapText="1"/>
    </xf>
    <xf numFmtId="0" fontId="6" fillId="0" borderId="7" xfId="0" applyFont="1" applyBorder="1" applyAlignment="1">
      <alignment horizontal="center" vertical="center"/>
    </xf>
    <xf numFmtId="0" fontId="31" fillId="0" borderId="0" xfId="0" applyFont="1" applyAlignment="1">
      <alignment horizontal="center" vertical="center" wrapText="1"/>
    </xf>
    <xf numFmtId="15" fontId="6" fillId="0" borderId="7" xfId="0" applyNumberFormat="1" applyFont="1" applyBorder="1" applyAlignment="1">
      <alignment horizontal="center" vertical="center"/>
    </xf>
    <xf numFmtId="0" fontId="6" fillId="0" borderId="7" xfId="0" applyFont="1" applyBorder="1" applyAlignment="1">
      <alignment horizontal="left" vertical="center" wrapText="1"/>
    </xf>
    <xf numFmtId="9" fontId="6" fillId="0" borderId="7" xfId="0" applyNumberFormat="1" applyFont="1" applyBorder="1" applyAlignment="1">
      <alignment horizontal="center" vertical="center" wrapText="1"/>
    </xf>
    <xf numFmtId="0" fontId="6" fillId="0" borderId="6" xfId="0" applyFont="1" applyBorder="1" applyAlignment="1">
      <alignment horizontal="left" vertical="center" wrapText="1"/>
    </xf>
    <xf numFmtId="0" fontId="6" fillId="0" borderId="0" xfId="0" applyFont="1"/>
    <xf numFmtId="0" fontId="51" fillId="0" borderId="0" xfId="0" applyFont="1" applyAlignment="1">
      <alignment vertical="center" wrapText="1"/>
    </xf>
    <xf numFmtId="0" fontId="51" fillId="0" borderId="6" xfId="0" applyFont="1" applyBorder="1" applyAlignment="1">
      <alignment vertical="center" wrapText="1"/>
    </xf>
    <xf numFmtId="0" fontId="44" fillId="0" borderId="0" xfId="0" applyFont="1" applyAlignment="1">
      <alignment horizontal="left" vertical="center"/>
    </xf>
    <xf numFmtId="166" fontId="28" fillId="0" borderId="9" xfId="0" applyNumberFormat="1" applyFont="1" applyBorder="1" applyAlignment="1">
      <alignment horizontal="left" vertical="center"/>
    </xf>
    <xf numFmtId="166" fontId="28" fillId="0" borderId="10" xfId="0" applyNumberFormat="1" applyFont="1" applyBorder="1" applyAlignment="1">
      <alignment horizontal="left" vertical="center" wrapText="1"/>
    </xf>
    <xf numFmtId="0" fontId="11" fillId="0" borderId="10" xfId="0" applyFont="1" applyBorder="1" applyAlignment="1">
      <alignment horizontal="left" vertical="center"/>
    </xf>
    <xf numFmtId="0" fontId="23" fillId="0" borderId="10" xfId="0" applyFont="1" applyBorder="1" applyAlignment="1">
      <alignment horizontal="center" vertical="center" wrapText="1"/>
    </xf>
    <xf numFmtId="0" fontId="3" fillId="0" borderId="9" xfId="0" applyFont="1" applyBorder="1" applyAlignment="1">
      <alignment horizontal="center" vertical="center" wrapText="1"/>
    </xf>
    <xf numFmtId="15" fontId="3" fillId="7" borderId="11" xfId="0" applyNumberFormat="1" applyFont="1" applyFill="1" applyBorder="1" applyAlignment="1">
      <alignment horizontal="center" vertical="center" wrapText="1"/>
    </xf>
    <xf numFmtId="0" fontId="4" fillId="0" borderId="0" xfId="0" applyFont="1" applyAlignment="1">
      <alignment horizontal="left" wrapText="1"/>
    </xf>
    <xf numFmtId="0" fontId="18" fillId="0" borderId="0" xfId="0" applyFont="1" applyAlignment="1">
      <alignment horizontal="center"/>
    </xf>
    <xf numFmtId="0" fontId="23" fillId="0" borderId="0" xfId="0" applyFont="1" applyAlignment="1">
      <alignment horizontal="center" wrapText="1"/>
    </xf>
    <xf numFmtId="0" fontId="4" fillId="3" borderId="17" xfId="0" applyFont="1" applyFill="1" applyBorder="1" applyAlignment="1">
      <alignment horizontal="center" vertical="center"/>
    </xf>
    <xf numFmtId="0" fontId="4" fillId="3" borderId="17" xfId="0" applyFont="1" applyFill="1" applyBorder="1" applyAlignment="1">
      <alignment horizontal="center" vertical="center" wrapText="1"/>
    </xf>
    <xf numFmtId="0" fontId="4" fillId="3" borderId="17" xfId="0" applyFont="1" applyFill="1" applyBorder="1" applyAlignment="1">
      <alignment horizontal="center" vertical="top" wrapText="1"/>
    </xf>
    <xf numFmtId="0" fontId="3" fillId="0" borderId="17" xfId="0" applyFont="1" applyBorder="1" applyAlignment="1">
      <alignment horizontal="center" vertical="center"/>
    </xf>
    <xf numFmtId="0" fontId="52" fillId="7" borderId="17" xfId="0" applyFont="1" applyFill="1" applyBorder="1" applyAlignment="1">
      <alignment vertical="top" wrapText="1"/>
    </xf>
    <xf numFmtId="0" fontId="32" fillId="7" borderId="17" xfId="0" applyFont="1" applyFill="1" applyBorder="1" applyAlignment="1">
      <alignment vertical="top" wrapText="1"/>
    </xf>
    <xf numFmtId="0" fontId="52" fillId="7" borderId="17" xfId="0" applyFont="1" applyFill="1" applyBorder="1" applyAlignment="1">
      <alignment vertical="center" wrapText="1"/>
    </xf>
    <xf numFmtId="0" fontId="3" fillId="7" borderId="17" xfId="0" applyFont="1" applyFill="1" applyBorder="1" applyAlignment="1">
      <alignment vertical="top" wrapText="1"/>
    </xf>
    <xf numFmtId="0" fontId="52" fillId="7" borderId="17" xfId="0" applyFont="1" applyFill="1" applyBorder="1" applyAlignment="1">
      <alignment horizontal="left" vertical="center" wrapText="1"/>
    </xf>
    <xf numFmtId="0" fontId="1" fillId="7" borderId="17" xfId="0" applyFont="1" applyFill="1" applyBorder="1" applyAlignment="1">
      <alignment horizontal="left" vertical="center" wrapText="1"/>
    </xf>
    <xf numFmtId="0" fontId="1" fillId="7" borderId="17" xfId="0" applyFont="1" applyFill="1" applyBorder="1" applyAlignment="1">
      <alignment vertical="center" wrapText="1"/>
    </xf>
    <xf numFmtId="0" fontId="3" fillId="0" borderId="17" xfId="0" applyFont="1" applyBorder="1" applyAlignment="1">
      <alignment horizontal="center"/>
    </xf>
    <xf numFmtId="0" fontId="1" fillId="0" borderId="17" xfId="0" applyFont="1" applyBorder="1"/>
    <xf numFmtId="0" fontId="10" fillId="0" borderId="0" xfId="0" applyFont="1" applyAlignment="1">
      <alignment wrapText="1"/>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2" fillId="2" borderId="2" xfId="0" applyFont="1" applyFill="1" applyBorder="1" applyAlignment="1">
      <alignment vertical="center"/>
    </xf>
    <xf numFmtId="14" fontId="4" fillId="2" borderId="2" xfId="0" applyNumberFormat="1" applyFont="1" applyFill="1" applyBorder="1" applyAlignment="1">
      <alignment vertical="center"/>
    </xf>
    <xf numFmtId="0" fontId="4" fillId="2" borderId="2" xfId="0" applyFont="1" applyFill="1" applyBorder="1" applyAlignment="1">
      <alignment vertical="top"/>
    </xf>
    <xf numFmtId="0" fontId="4" fillId="2" borderId="2" xfId="0" applyFont="1" applyFill="1" applyBorder="1" applyAlignment="1">
      <alignment horizontal="center" vertical="top"/>
    </xf>
    <xf numFmtId="0" fontId="4" fillId="2" borderId="2" xfId="0" applyFont="1" applyFill="1" applyBorder="1" applyAlignment="1">
      <alignment horizontal="center" vertical="top" wrapText="1"/>
    </xf>
    <xf numFmtId="0" fontId="2" fillId="2" borderId="2" xfId="0" applyFont="1" applyFill="1" applyBorder="1" applyAlignment="1">
      <alignment vertical="top"/>
    </xf>
    <xf numFmtId="14" fontId="4" fillId="2" borderId="2" xfId="0" applyNumberFormat="1" applyFont="1" applyFill="1" applyBorder="1" applyAlignment="1">
      <alignment vertical="top"/>
    </xf>
    <xf numFmtId="0" fontId="8" fillId="2" borderId="2" xfId="0" applyFont="1" applyFill="1" applyBorder="1" applyAlignment="1">
      <alignment vertical="top"/>
    </xf>
    <xf numFmtId="0" fontId="9" fillId="2" borderId="2" xfId="0" applyFont="1" applyFill="1" applyBorder="1" applyAlignment="1">
      <alignment vertical="top"/>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8" xfId="0" applyFont="1" applyFill="1" applyBorder="1" applyAlignment="1">
      <alignment horizontal="center" vertical="center" wrapText="1"/>
    </xf>
    <xf numFmtId="165" fontId="5" fillId="3" borderId="3" xfId="0" applyNumberFormat="1" applyFont="1" applyFill="1" applyBorder="1" applyAlignment="1">
      <alignment vertical="center" textRotation="90" wrapText="1"/>
    </xf>
    <xf numFmtId="165" fontId="5" fillId="3" borderId="5" xfId="0" applyNumberFormat="1" applyFont="1" applyFill="1" applyBorder="1" applyAlignment="1">
      <alignment vertical="center" textRotation="90" wrapText="1"/>
    </xf>
    <xf numFmtId="165" fontId="5" fillId="3" borderId="4" xfId="0" applyNumberFormat="1" applyFont="1" applyFill="1" applyBorder="1" applyAlignment="1">
      <alignment vertical="center" textRotation="90" wrapText="1"/>
    </xf>
    <xf numFmtId="166" fontId="4" fillId="4" borderId="8" xfId="0" applyNumberFormat="1" applyFont="1" applyFill="1" applyBorder="1" applyAlignment="1">
      <alignment horizontal="left" vertical="center"/>
    </xf>
    <xf numFmtId="166" fontId="4" fillId="4" borderId="2" xfId="0" applyNumberFormat="1" applyFont="1" applyFill="1" applyBorder="1" applyAlignment="1">
      <alignment horizontal="left" vertical="center" wrapText="1"/>
    </xf>
    <xf numFmtId="166" fontId="4" fillId="4" borderId="6" xfId="0" applyNumberFormat="1" applyFont="1" applyFill="1" applyBorder="1" applyAlignment="1">
      <alignment horizontal="left" vertical="center"/>
    </xf>
    <xf numFmtId="0" fontId="5" fillId="4" borderId="2" xfId="0" applyFont="1" applyFill="1" applyBorder="1" applyAlignment="1">
      <alignment horizontal="left" vertical="center"/>
    </xf>
    <xf numFmtId="0" fontId="4" fillId="4" borderId="2" xfId="0" applyFont="1" applyFill="1" applyBorder="1" applyAlignment="1">
      <alignment horizontal="left" vertical="center"/>
    </xf>
    <xf numFmtId="0" fontId="4" fillId="4" borderId="7" xfId="0" applyFont="1" applyFill="1" applyBorder="1" applyAlignment="1">
      <alignment horizontal="center" vertical="center"/>
    </xf>
    <xf numFmtId="0" fontId="4" fillId="4" borderId="7" xfId="0" applyFont="1" applyFill="1" applyBorder="1" applyAlignment="1">
      <alignment horizontal="left"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15" fontId="4" fillId="4" borderId="7" xfId="0" applyNumberFormat="1" applyFont="1" applyFill="1" applyBorder="1" applyAlignment="1">
      <alignment horizontal="center" vertical="center" wrapText="1"/>
    </xf>
    <xf numFmtId="9" fontId="4" fillId="4" borderId="7" xfId="0" applyNumberFormat="1" applyFont="1" applyFill="1" applyBorder="1" applyAlignment="1">
      <alignment horizontal="center" vertical="center" wrapText="1"/>
    </xf>
    <xf numFmtId="0" fontId="4" fillId="4" borderId="6" xfId="0" applyFont="1" applyFill="1" applyBorder="1" applyAlignment="1">
      <alignment horizontal="left" vertical="center" wrapText="1"/>
    </xf>
    <xf numFmtId="0" fontId="3" fillId="0" borderId="8" xfId="0" applyFont="1" applyBorder="1" applyAlignment="1">
      <alignment vertical="center" wrapText="1"/>
    </xf>
    <xf numFmtId="166" fontId="1" fillId="5" borderId="8" xfId="0" applyNumberFormat="1" applyFont="1" applyFill="1" applyBorder="1" applyAlignment="1">
      <alignment horizontal="left" vertical="center"/>
    </xf>
    <xf numFmtId="166" fontId="1" fillId="5" borderId="2" xfId="0" applyNumberFormat="1" applyFont="1" applyFill="1" applyBorder="1" applyAlignment="1">
      <alignment horizontal="left" vertical="center" wrapText="1"/>
    </xf>
    <xf numFmtId="166" fontId="1" fillId="5" borderId="6" xfId="0" applyNumberFormat="1" applyFont="1" applyFill="1" applyBorder="1" applyAlignment="1">
      <alignment horizontal="left" vertical="center"/>
    </xf>
    <xf numFmtId="0" fontId="1" fillId="5" borderId="2" xfId="0" applyFont="1" applyFill="1" applyBorder="1" applyAlignment="1">
      <alignment horizontal="left" vertical="center"/>
    </xf>
    <xf numFmtId="0" fontId="3" fillId="5" borderId="7" xfId="0" applyFont="1" applyFill="1" applyBorder="1" applyAlignment="1">
      <alignment horizontal="center" vertical="center"/>
    </xf>
    <xf numFmtId="0" fontId="3" fillId="5" borderId="7" xfId="0" applyFont="1" applyFill="1" applyBorder="1" applyAlignment="1">
      <alignment horizontal="center" vertical="center" wrapText="1"/>
    </xf>
    <xf numFmtId="15" fontId="3" fillId="5" borderId="7" xfId="0" applyNumberFormat="1" applyFont="1" applyFill="1" applyBorder="1" applyAlignment="1">
      <alignment horizontal="center" vertical="center" wrapText="1"/>
    </xf>
    <xf numFmtId="0" fontId="1" fillId="5" borderId="7" xfId="0" applyFont="1" applyFill="1" applyBorder="1" applyAlignment="1">
      <alignment horizontal="left" vertical="center" wrapText="1"/>
    </xf>
    <xf numFmtId="0" fontId="1" fillId="5" borderId="6" xfId="0" applyFont="1" applyFill="1" applyBorder="1" applyAlignment="1">
      <alignment horizontal="left" vertical="center" wrapText="1"/>
    </xf>
    <xf numFmtId="0" fontId="1" fillId="0" borderId="8" xfId="0" applyFont="1" applyBorder="1" applyAlignment="1">
      <alignment vertical="center" wrapText="1"/>
    </xf>
    <xf numFmtId="166" fontId="3" fillId="6" borderId="8" xfId="0" applyNumberFormat="1" applyFont="1" applyFill="1" applyBorder="1" applyAlignment="1">
      <alignment horizontal="left" vertical="center"/>
    </xf>
    <xf numFmtId="166" fontId="3" fillId="6" borderId="2" xfId="0" applyNumberFormat="1" applyFont="1" applyFill="1" applyBorder="1" applyAlignment="1">
      <alignment horizontal="left" vertical="center" wrapText="1"/>
    </xf>
    <xf numFmtId="166" fontId="3" fillId="6" borderId="6" xfId="0" applyNumberFormat="1" applyFont="1" applyFill="1" applyBorder="1" applyAlignment="1">
      <alignment horizontal="left" vertical="center"/>
    </xf>
    <xf numFmtId="0" fontId="1" fillId="6" borderId="2" xfId="0" applyFont="1" applyFill="1" applyBorder="1" applyAlignment="1">
      <alignment horizontal="left" vertical="center"/>
    </xf>
    <xf numFmtId="0" fontId="3" fillId="6" borderId="2" xfId="0" applyFont="1" applyFill="1" applyBorder="1" applyAlignment="1">
      <alignment horizontal="left" vertical="center"/>
    </xf>
    <xf numFmtId="0" fontId="3" fillId="6" borderId="7" xfId="0" applyFont="1" applyFill="1" applyBorder="1" applyAlignment="1">
      <alignment horizontal="center" vertical="center"/>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15" fontId="3" fillId="6" borderId="7" xfId="0" applyNumberFormat="1" applyFont="1" applyFill="1" applyBorder="1" applyAlignment="1">
      <alignment horizontal="center" vertical="center" wrapText="1"/>
    </xf>
    <xf numFmtId="9" fontId="3" fillId="6" borderId="7" xfId="0" applyNumberFormat="1" applyFont="1" applyFill="1" applyBorder="1" applyAlignment="1">
      <alignment horizontal="center" vertical="center" wrapText="1"/>
    </xf>
    <xf numFmtId="0" fontId="3" fillId="6" borderId="7" xfId="0" applyFont="1" applyFill="1" applyBorder="1" applyAlignment="1">
      <alignment horizontal="left" vertical="center" wrapText="1"/>
    </xf>
    <xf numFmtId="167" fontId="3" fillId="6" borderId="7" xfId="0" applyNumberFormat="1" applyFont="1" applyFill="1" applyBorder="1" applyAlignment="1">
      <alignment horizontal="left" vertical="center" wrapText="1"/>
    </xf>
    <xf numFmtId="0" fontId="3" fillId="6" borderId="6" xfId="0" applyFont="1" applyFill="1" applyBorder="1" applyAlignment="1">
      <alignment horizontal="left" vertical="center" wrapText="1"/>
    </xf>
    <xf numFmtId="166" fontId="3" fillId="0" borderId="8" xfId="0" applyNumberFormat="1" applyFont="1" applyBorder="1" applyAlignment="1">
      <alignment horizontal="left" vertical="center"/>
    </xf>
    <xf numFmtId="0" fontId="1" fillId="5" borderId="7" xfId="0" applyFont="1" applyFill="1" applyBorder="1" applyAlignment="1">
      <alignment horizontal="center" vertical="center" wrapText="1"/>
    </xf>
    <xf numFmtId="0" fontId="1" fillId="5" borderId="7" xfId="0" applyFont="1" applyFill="1" applyBorder="1" applyAlignment="1">
      <alignment horizontal="center" vertical="center"/>
    </xf>
    <xf numFmtId="15" fontId="1" fillId="5" borderId="7" xfId="0" applyNumberFormat="1" applyFont="1" applyFill="1" applyBorder="1" applyAlignment="1">
      <alignment horizontal="center" vertical="center" wrapText="1"/>
    </xf>
    <xf numFmtId="0" fontId="1" fillId="6" borderId="7" xfId="0" applyFont="1" applyFill="1" applyBorder="1" applyAlignment="1">
      <alignment horizontal="left" vertical="center" wrapText="1"/>
    </xf>
    <xf numFmtId="0" fontId="1" fillId="6" borderId="6" xfId="0" applyFont="1" applyFill="1" applyBorder="1" applyAlignment="1">
      <alignment horizontal="left" vertical="center" wrapText="1"/>
    </xf>
    <xf numFmtId="0" fontId="3" fillId="0" borderId="8" xfId="0" applyFont="1" applyBorder="1" applyAlignment="1">
      <alignment horizontal="center" vertical="center" wrapText="1"/>
    </xf>
    <xf numFmtId="0" fontId="3" fillId="8" borderId="7"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6" borderId="7" xfId="0" applyFont="1" applyFill="1" applyBorder="1" applyAlignment="1">
      <alignment horizontal="left" vertical="center"/>
    </xf>
    <xf numFmtId="15" fontId="3" fillId="6" borderId="7" xfId="0" applyNumberFormat="1" applyFont="1" applyFill="1" applyBorder="1" applyAlignment="1">
      <alignment horizontal="center" vertical="center"/>
    </xf>
    <xf numFmtId="0" fontId="3" fillId="0" borderId="8" xfId="0" applyFont="1" applyBorder="1" applyAlignment="1">
      <alignment vertical="center"/>
    </xf>
    <xf numFmtId="0" fontId="5" fillId="4" borderId="7" xfId="0" applyFont="1" applyFill="1" applyBorder="1" applyAlignment="1">
      <alignment horizontal="left" vertical="center" wrapText="1"/>
    </xf>
    <xf numFmtId="166" fontId="3" fillId="0" borderId="12" xfId="0" applyNumberFormat="1" applyFont="1" applyBorder="1" applyAlignment="1">
      <alignment horizontal="left" vertical="center"/>
    </xf>
    <xf numFmtId="0" fontId="3" fillId="0" borderId="11" xfId="0" applyFont="1" applyBorder="1" applyAlignment="1">
      <alignment horizontal="center" vertical="center"/>
    </xf>
    <xf numFmtId="0" fontId="3" fillId="0" borderId="11" xfId="0" applyFont="1" applyBorder="1" applyAlignment="1">
      <alignment horizontal="center" vertical="center" wrapText="1"/>
    </xf>
    <xf numFmtId="15" fontId="3" fillId="0" borderId="11" xfId="0" applyNumberFormat="1" applyFont="1" applyBorder="1" applyAlignment="1">
      <alignment horizontal="center" vertical="center" wrapText="1"/>
    </xf>
    <xf numFmtId="0" fontId="3" fillId="4" borderId="2" xfId="0" applyFont="1" applyFill="1" applyBorder="1"/>
    <xf numFmtId="0" fontId="3" fillId="9" borderId="2" xfId="0" applyFont="1" applyFill="1" applyBorder="1" applyAlignment="1">
      <alignment vertical="top"/>
    </xf>
    <xf numFmtId="0" fontId="3" fillId="5" borderId="2" xfId="0" applyFont="1" applyFill="1" applyBorder="1" applyAlignment="1">
      <alignment horizontal="left" vertical="center"/>
    </xf>
    <xf numFmtId="0" fontId="3" fillId="5" borderId="2" xfId="0" applyFont="1" applyFill="1" applyBorder="1"/>
    <xf numFmtId="0" fontId="3" fillId="5" borderId="2" xfId="0" applyFont="1" applyFill="1" applyBorder="1" applyAlignment="1">
      <alignment vertical="center"/>
    </xf>
    <xf numFmtId="0" fontId="3" fillId="6" borderId="2" xfId="0" applyFont="1" applyFill="1" applyBorder="1"/>
    <xf numFmtId="0" fontId="3" fillId="8" borderId="2" xfId="0" applyFont="1" applyFill="1" applyBorder="1" applyAlignment="1">
      <alignment vertical="top"/>
    </xf>
    <xf numFmtId="0" fontId="13" fillId="2" borderId="2" xfId="0" applyFont="1" applyFill="1" applyBorder="1" applyAlignment="1">
      <alignment horizontal="left" vertical="center"/>
    </xf>
    <xf numFmtId="0" fontId="13" fillId="2" borderId="2" xfId="0" applyFont="1" applyFill="1" applyBorder="1" applyAlignment="1">
      <alignment horizontal="left" vertical="center" wrapText="1"/>
    </xf>
    <xf numFmtId="0" fontId="13" fillId="2" borderId="2" xfId="0" applyFont="1" applyFill="1" applyBorder="1" applyAlignment="1">
      <alignment vertical="center"/>
    </xf>
    <xf numFmtId="0" fontId="14" fillId="2" borderId="2" xfId="0" applyFont="1" applyFill="1" applyBorder="1" applyAlignment="1">
      <alignment vertical="center"/>
    </xf>
    <xf numFmtId="0" fontId="14" fillId="2" borderId="2" xfId="0" applyFont="1" applyFill="1" applyBorder="1" applyAlignment="1">
      <alignment horizontal="center" vertical="center"/>
    </xf>
    <xf numFmtId="0" fontId="15" fillId="2" borderId="2" xfId="0" applyFont="1" applyFill="1" applyBorder="1" applyAlignment="1">
      <alignment horizontal="center" vertical="center" wrapText="1"/>
    </xf>
    <xf numFmtId="0" fontId="16" fillId="2" borderId="2" xfId="0" applyFont="1" applyFill="1" applyBorder="1" applyAlignment="1">
      <alignment vertical="center"/>
    </xf>
    <xf numFmtId="14" fontId="14" fillId="2" borderId="2" xfId="0" applyNumberFormat="1" applyFont="1" applyFill="1" applyBorder="1" applyAlignment="1">
      <alignment vertical="center"/>
    </xf>
    <xf numFmtId="0" fontId="17" fillId="2" borderId="2" xfId="0" applyFont="1" applyFill="1" applyBorder="1" applyAlignment="1">
      <alignment vertical="center"/>
    </xf>
    <xf numFmtId="0" fontId="18" fillId="2" borderId="2" xfId="0" applyFont="1" applyFill="1" applyBorder="1" applyAlignment="1">
      <alignment horizontal="left" vertical="top"/>
    </xf>
    <xf numFmtId="0" fontId="18" fillId="2" borderId="2" xfId="0" applyFont="1" applyFill="1" applyBorder="1" applyAlignment="1">
      <alignment horizontal="left" vertical="top" wrapText="1"/>
    </xf>
    <xf numFmtId="0" fontId="18" fillId="2" borderId="2" xfId="0" applyFont="1" applyFill="1" applyBorder="1" applyAlignment="1">
      <alignment vertical="top"/>
    </xf>
    <xf numFmtId="0" fontId="19" fillId="2" borderId="2" xfId="0" applyFont="1" applyFill="1" applyBorder="1" applyAlignment="1">
      <alignment vertical="center"/>
    </xf>
    <xf numFmtId="0" fontId="18" fillId="2" borderId="2" xfId="0" applyFont="1" applyFill="1" applyBorder="1" applyAlignment="1">
      <alignment horizontal="center" vertical="top"/>
    </xf>
    <xf numFmtId="0" fontId="15" fillId="2" borderId="2" xfId="0" applyFont="1" applyFill="1" applyBorder="1" applyAlignment="1">
      <alignment horizontal="center" vertical="top" wrapText="1"/>
    </xf>
    <xf numFmtId="0" fontId="20" fillId="2" borderId="2" xfId="0" applyFont="1" applyFill="1" applyBorder="1" applyAlignment="1">
      <alignment vertical="top"/>
    </xf>
    <xf numFmtId="14" fontId="18" fillId="2" borderId="2" xfId="0" applyNumberFormat="1" applyFont="1" applyFill="1" applyBorder="1" applyAlignment="1">
      <alignment vertical="top"/>
    </xf>
    <xf numFmtId="16" fontId="18" fillId="2" borderId="2" xfId="0" applyNumberFormat="1" applyFont="1" applyFill="1" applyBorder="1" applyAlignment="1">
      <alignment vertical="top"/>
    </xf>
    <xf numFmtId="166" fontId="26" fillId="4" borderId="8" xfId="0" applyNumberFormat="1" applyFont="1" applyFill="1" applyBorder="1" applyAlignment="1">
      <alignment horizontal="left" vertical="center"/>
    </xf>
    <xf numFmtId="166" fontId="26" fillId="4" borderId="2" xfId="0" applyNumberFormat="1" applyFont="1" applyFill="1" applyBorder="1" applyAlignment="1">
      <alignment horizontal="left" vertical="center" wrapText="1"/>
    </xf>
    <xf numFmtId="166" fontId="26" fillId="4" borderId="6" xfId="0" applyNumberFormat="1" applyFont="1" applyFill="1" applyBorder="1" applyAlignment="1">
      <alignment horizontal="left" vertical="center"/>
    </xf>
    <xf numFmtId="0" fontId="18" fillId="4" borderId="2" xfId="0" applyFont="1" applyFill="1" applyBorder="1" applyAlignment="1">
      <alignment horizontal="left" vertical="center"/>
    </xf>
    <xf numFmtId="0" fontId="15" fillId="4" borderId="7" xfId="0" applyFont="1" applyFill="1" applyBorder="1" applyAlignment="1">
      <alignment horizontal="center" vertical="center" wrapText="1"/>
    </xf>
    <xf numFmtId="2" fontId="4" fillId="4" borderId="7" xfId="0" applyNumberFormat="1" applyFont="1" applyFill="1" applyBorder="1" applyAlignment="1">
      <alignment horizontal="center" vertical="center" wrapText="1"/>
    </xf>
    <xf numFmtId="0" fontId="27" fillId="0" borderId="8" xfId="0" applyFont="1" applyBorder="1" applyAlignment="1">
      <alignment vertical="center" wrapText="1"/>
    </xf>
    <xf numFmtId="166" fontId="28" fillId="10" borderId="8" xfId="0" applyNumberFormat="1" applyFont="1" applyFill="1" applyBorder="1" applyAlignment="1">
      <alignment horizontal="left" vertical="center"/>
    </xf>
    <xf numFmtId="166" fontId="28" fillId="10" borderId="2" xfId="0" applyNumberFormat="1" applyFont="1" applyFill="1" applyBorder="1" applyAlignment="1">
      <alignment horizontal="left" vertical="center" wrapText="1"/>
    </xf>
    <xf numFmtId="166" fontId="28" fillId="10" borderId="6" xfId="0" applyNumberFormat="1" applyFont="1" applyFill="1" applyBorder="1" applyAlignment="1">
      <alignment horizontal="left" vertical="center"/>
    </xf>
    <xf numFmtId="0" fontId="11" fillId="10" borderId="2" xfId="0" applyFont="1" applyFill="1" applyBorder="1" applyAlignment="1">
      <alignment horizontal="left" vertical="center"/>
    </xf>
    <xf numFmtId="0" fontId="3" fillId="10" borderId="2" xfId="0" applyFont="1" applyFill="1" applyBorder="1" applyAlignment="1">
      <alignment horizontal="left" vertical="center"/>
    </xf>
    <xf numFmtId="0" fontId="3" fillId="10" borderId="7" xfId="0" applyFont="1" applyFill="1" applyBorder="1" applyAlignment="1">
      <alignment horizontal="center" vertical="center"/>
    </xf>
    <xf numFmtId="0" fontId="23" fillId="10" borderId="7" xfId="0" applyFont="1" applyFill="1" applyBorder="1" applyAlignment="1">
      <alignment horizontal="left" vertical="center" wrapText="1"/>
    </xf>
    <xf numFmtId="0" fontId="23" fillId="10" borderId="7"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10" borderId="7" xfId="0" applyFont="1" applyFill="1" applyBorder="1" applyAlignment="1">
      <alignment horizontal="center" vertical="center" wrapText="1"/>
    </xf>
    <xf numFmtId="15" fontId="3" fillId="10" borderId="7" xfId="0" applyNumberFormat="1" applyFont="1" applyFill="1" applyBorder="1" applyAlignment="1">
      <alignment horizontal="center" vertical="center" wrapText="1"/>
    </xf>
    <xf numFmtId="0" fontId="2" fillId="10" borderId="2" xfId="0" applyFont="1" applyFill="1" applyBorder="1" applyAlignment="1">
      <alignment vertical="center" wrapText="1"/>
    </xf>
    <xf numFmtId="9" fontId="3" fillId="10" borderId="7" xfId="0" applyNumberFormat="1" applyFont="1" applyFill="1" applyBorder="1" applyAlignment="1">
      <alignment horizontal="center" vertical="center" wrapText="1"/>
    </xf>
    <xf numFmtId="9" fontId="3" fillId="10" borderId="6" xfId="0" applyNumberFormat="1" applyFont="1" applyFill="1" applyBorder="1" applyAlignment="1">
      <alignment horizontal="center" vertical="center" wrapText="1"/>
    </xf>
    <xf numFmtId="0" fontId="27" fillId="0" borderId="8" xfId="0" applyFont="1" applyBorder="1"/>
    <xf numFmtId="166" fontId="28" fillId="0" borderId="8" xfId="0" applyNumberFormat="1" applyFont="1" applyBorder="1" applyAlignment="1">
      <alignment horizontal="left" vertical="center"/>
    </xf>
    <xf numFmtId="0" fontId="6" fillId="0" borderId="8" xfId="0" applyFont="1" applyBorder="1" applyAlignment="1">
      <alignment horizontal="center" vertical="center" wrapText="1"/>
    </xf>
    <xf numFmtId="0" fontId="22" fillId="0" borderId="8" xfId="0" applyFont="1" applyBorder="1" applyAlignment="1">
      <alignment vertical="center" wrapText="1"/>
    </xf>
    <xf numFmtId="166" fontId="29" fillId="10" borderId="8" xfId="0" applyNumberFormat="1" applyFont="1" applyFill="1" applyBorder="1" applyAlignment="1">
      <alignment horizontal="left" vertical="center"/>
    </xf>
    <xf numFmtId="166" fontId="29" fillId="10" borderId="2" xfId="0" applyNumberFormat="1" applyFont="1" applyFill="1" applyBorder="1" applyAlignment="1">
      <alignment horizontal="left" vertical="center" wrapText="1"/>
    </xf>
    <xf numFmtId="166" fontId="29" fillId="10" borderId="6" xfId="0" applyNumberFormat="1" applyFont="1" applyFill="1" applyBorder="1" applyAlignment="1">
      <alignment horizontal="left" vertical="center"/>
    </xf>
    <xf numFmtId="0" fontId="1" fillId="10" borderId="2" xfId="0" applyFont="1" applyFill="1" applyBorder="1" applyAlignment="1">
      <alignment horizontal="left" vertical="center"/>
    </xf>
    <xf numFmtId="0" fontId="12" fillId="10" borderId="7" xfId="0" applyFont="1" applyFill="1" applyBorder="1" applyAlignment="1">
      <alignment horizontal="center" vertical="center" wrapText="1"/>
    </xf>
    <xf numFmtId="15" fontId="1" fillId="10" borderId="7" xfId="0" applyNumberFormat="1" applyFont="1" applyFill="1" applyBorder="1" applyAlignment="1">
      <alignment horizontal="center" vertical="center" wrapText="1"/>
    </xf>
    <xf numFmtId="0" fontId="1" fillId="10" borderId="7" xfId="0" applyFont="1" applyFill="1" applyBorder="1" applyAlignment="1">
      <alignment horizontal="left" vertical="center" wrapText="1"/>
    </xf>
    <xf numFmtId="9" fontId="1" fillId="10" borderId="7" xfId="0" applyNumberFormat="1" applyFont="1" applyFill="1" applyBorder="1" applyAlignment="1">
      <alignment horizontal="center" vertical="center" wrapText="1"/>
    </xf>
    <xf numFmtId="0" fontId="1" fillId="10" borderId="6" xfId="0" applyFont="1" applyFill="1" applyBorder="1" applyAlignment="1">
      <alignment horizontal="left" vertical="center" wrapText="1"/>
    </xf>
    <xf numFmtId="0" fontId="30" fillId="0" borderId="8" xfId="0" applyFont="1" applyBorder="1" applyAlignment="1">
      <alignment vertical="center" wrapText="1"/>
    </xf>
    <xf numFmtId="166" fontId="29" fillId="0" borderId="8" xfId="0" applyNumberFormat="1" applyFont="1" applyBorder="1" applyAlignment="1">
      <alignment horizontal="left" vertical="center"/>
    </xf>
    <xf numFmtId="15" fontId="6" fillId="11" borderId="7" xfId="0" applyNumberFormat="1" applyFont="1" applyFill="1" applyBorder="1" applyAlignment="1">
      <alignment horizontal="center" vertical="center" wrapText="1"/>
    </xf>
    <xf numFmtId="0" fontId="1" fillId="0" borderId="8" xfId="0" applyFont="1" applyBorder="1" applyAlignment="1">
      <alignment horizontal="center" vertical="center" wrapText="1"/>
    </xf>
    <xf numFmtId="0" fontId="27" fillId="0" borderId="8" xfId="0" applyFont="1" applyBorder="1" applyAlignment="1">
      <alignment vertical="center"/>
    </xf>
    <xf numFmtId="166" fontId="33" fillId="0" borderId="8" xfId="0" applyNumberFormat="1" applyFont="1" applyBorder="1" applyAlignment="1">
      <alignment horizontal="left" vertical="center"/>
    </xf>
    <xf numFmtId="0" fontId="35" fillId="0" borderId="8" xfId="0" applyFont="1" applyBorder="1" applyAlignment="1">
      <alignment horizontal="center" vertical="center" wrapText="1"/>
    </xf>
    <xf numFmtId="0" fontId="39" fillId="0" borderId="8" xfId="0" applyFont="1" applyBorder="1" applyAlignment="1">
      <alignment vertical="center" wrapText="1"/>
    </xf>
    <xf numFmtId="15" fontId="35" fillId="7" borderId="7" xfId="0" applyNumberFormat="1" applyFont="1" applyFill="1" applyBorder="1" applyAlignment="1">
      <alignment horizontal="center" vertical="center" wrapText="1"/>
    </xf>
    <xf numFmtId="166" fontId="28" fillId="7" borderId="8" xfId="0" applyNumberFormat="1" applyFont="1" applyFill="1" applyBorder="1" applyAlignment="1">
      <alignment horizontal="left" vertical="center"/>
    </xf>
    <xf numFmtId="0" fontId="11" fillId="7" borderId="2" xfId="0" applyFont="1" applyFill="1" applyBorder="1" applyAlignment="1">
      <alignment horizontal="left" vertical="center"/>
    </xf>
    <xf numFmtId="0" fontId="3" fillId="7" borderId="2" xfId="0" applyFont="1" applyFill="1" applyBorder="1" applyAlignment="1">
      <alignment horizontal="left" vertical="center"/>
    </xf>
    <xf numFmtId="0" fontId="23" fillId="7" borderId="7" xfId="0" applyFont="1" applyFill="1" applyBorder="1" applyAlignment="1">
      <alignment horizontal="left" vertical="center" wrapText="1"/>
    </xf>
    <xf numFmtId="0" fontId="2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6" fillId="7" borderId="2" xfId="0" applyFont="1" applyFill="1" applyBorder="1" applyAlignment="1">
      <alignment horizontal="left" vertical="center"/>
    </xf>
    <xf numFmtId="9" fontId="3" fillId="7" borderId="7" xfId="0" applyNumberFormat="1" applyFont="1" applyFill="1" applyBorder="1" applyAlignment="1">
      <alignment horizontal="center" vertical="center" wrapText="1"/>
    </xf>
    <xf numFmtId="166" fontId="28" fillId="0" borderId="8" xfId="0" quotePrefix="1" applyNumberFormat="1" applyFont="1" applyBorder="1" applyAlignment="1">
      <alignment horizontal="right" vertical="center"/>
    </xf>
    <xf numFmtId="0" fontId="6" fillId="10" borderId="2" xfId="0" applyFont="1" applyFill="1" applyBorder="1" applyAlignment="1">
      <alignment horizontal="left" vertical="center"/>
    </xf>
    <xf numFmtId="0" fontId="3" fillId="10" borderId="7" xfId="0" applyFont="1" applyFill="1" applyBorder="1" applyAlignment="1">
      <alignment horizontal="left" vertical="center" wrapText="1"/>
    </xf>
    <xf numFmtId="0" fontId="3" fillId="10" borderId="6" xfId="0" applyFont="1" applyFill="1" applyBorder="1" applyAlignment="1">
      <alignment horizontal="left" vertical="center" wrapText="1"/>
    </xf>
    <xf numFmtId="166" fontId="43" fillId="0" borderId="8" xfId="0" applyNumberFormat="1" applyFont="1" applyBorder="1" applyAlignment="1">
      <alignment horizontal="left" vertical="center"/>
    </xf>
    <xf numFmtId="166" fontId="43" fillId="12" borderId="8" xfId="0" applyNumberFormat="1" applyFont="1" applyFill="1" applyBorder="1" applyAlignment="1">
      <alignment horizontal="left" vertical="center"/>
    </xf>
    <xf numFmtId="166" fontId="43" fillId="12" borderId="2" xfId="0" applyNumberFormat="1" applyFont="1" applyFill="1" applyBorder="1" applyAlignment="1">
      <alignment horizontal="left" vertical="center" wrapText="1"/>
    </xf>
    <xf numFmtId="166" fontId="43" fillId="12" borderId="6" xfId="0" applyNumberFormat="1" applyFont="1" applyFill="1" applyBorder="1" applyAlignment="1">
      <alignment horizontal="left" vertical="center"/>
    </xf>
    <xf numFmtId="0" fontId="34" fillId="12" borderId="2" xfId="0" applyFont="1" applyFill="1" applyBorder="1" applyAlignment="1">
      <alignment horizontal="left" vertical="center"/>
    </xf>
    <xf numFmtId="0" fontId="44" fillId="12" borderId="2" xfId="0" applyFont="1" applyFill="1" applyBorder="1" applyAlignment="1">
      <alignment horizontal="left" vertical="center"/>
    </xf>
    <xf numFmtId="0" fontId="45" fillId="12" borderId="7" xfId="0" applyFont="1" applyFill="1" applyBorder="1" applyAlignment="1">
      <alignment horizontal="left" vertical="center" wrapText="1"/>
    </xf>
    <xf numFmtId="0" fontId="45" fillId="12" borderId="7" xfId="0" applyFont="1" applyFill="1" applyBorder="1" applyAlignment="1">
      <alignment horizontal="center" vertical="center" wrapText="1"/>
    </xf>
    <xf numFmtId="0" fontId="35" fillId="12" borderId="8" xfId="0" applyFont="1" applyFill="1" applyBorder="1" applyAlignment="1">
      <alignment horizontal="center" vertical="center" wrapText="1"/>
    </xf>
    <xf numFmtId="0" fontId="35" fillId="12" borderId="7" xfId="0" applyFont="1" applyFill="1" applyBorder="1" applyAlignment="1">
      <alignment horizontal="center" vertical="center" wrapText="1"/>
    </xf>
    <xf numFmtId="15" fontId="40" fillId="4" borderId="7" xfId="0" applyNumberFormat="1" applyFont="1" applyFill="1" applyBorder="1" applyAlignment="1">
      <alignment horizontal="center" vertical="center" wrapText="1"/>
    </xf>
    <xf numFmtId="168" fontId="40" fillId="4" borderId="7" xfId="0" applyNumberFormat="1" applyFont="1" applyFill="1" applyBorder="1" applyAlignment="1">
      <alignment horizontal="center" vertical="center" wrapText="1"/>
    </xf>
    <xf numFmtId="0" fontId="44" fillId="12" borderId="7" xfId="0" applyFont="1" applyFill="1" applyBorder="1" applyAlignment="1">
      <alignment horizontal="left" vertical="center" wrapText="1"/>
    </xf>
    <xf numFmtId="9" fontId="44" fillId="12" borderId="7" xfId="0" applyNumberFormat="1" applyFont="1" applyFill="1" applyBorder="1" applyAlignment="1">
      <alignment horizontal="center" vertical="center" wrapText="1"/>
    </xf>
    <xf numFmtId="0" fontId="44" fillId="12" borderId="6" xfId="0" applyFont="1" applyFill="1" applyBorder="1" applyAlignment="1">
      <alignment horizontal="left" vertical="center" wrapText="1"/>
    </xf>
    <xf numFmtId="0" fontId="34" fillId="0" borderId="8" xfId="0" applyFont="1" applyBorder="1" applyAlignment="1">
      <alignment vertical="center" wrapText="1"/>
    </xf>
    <xf numFmtId="166" fontId="33" fillId="6" borderId="8" xfId="0" applyNumberFormat="1" applyFont="1" applyFill="1" applyBorder="1" applyAlignment="1">
      <alignment horizontal="left" vertical="center"/>
    </xf>
    <xf numFmtId="166" fontId="33" fillId="6" borderId="6" xfId="0" applyNumberFormat="1" applyFont="1" applyFill="1" applyBorder="1" applyAlignment="1">
      <alignment horizontal="left" vertical="center"/>
    </xf>
    <xf numFmtId="0" fontId="34" fillId="6" borderId="2" xfId="0" applyFont="1" applyFill="1" applyBorder="1" applyAlignment="1">
      <alignment horizontal="left" vertical="center"/>
    </xf>
    <xf numFmtId="0" fontId="35" fillId="6" borderId="2" xfId="0" applyFont="1" applyFill="1" applyBorder="1" applyAlignment="1">
      <alignment horizontal="left" vertical="center"/>
    </xf>
    <xf numFmtId="0" fontId="36" fillId="6" borderId="7" xfId="0" applyFont="1" applyFill="1" applyBorder="1" applyAlignment="1">
      <alignment horizontal="left" vertical="center" wrapText="1"/>
    </xf>
    <xf numFmtId="0" fontId="36" fillId="6" borderId="7" xfId="0" applyFont="1" applyFill="1" applyBorder="1" applyAlignment="1">
      <alignment horizontal="center" vertical="center" wrapText="1"/>
    </xf>
    <xf numFmtId="0" fontId="35" fillId="6" borderId="8" xfId="0" applyFont="1" applyFill="1" applyBorder="1" applyAlignment="1">
      <alignment horizontal="center" vertical="center" wrapText="1"/>
    </xf>
    <xf numFmtId="0" fontId="35" fillId="6" borderId="7" xfId="0" applyFont="1" applyFill="1" applyBorder="1" applyAlignment="1">
      <alignment horizontal="center" vertical="center" wrapText="1"/>
    </xf>
    <xf numFmtId="0" fontId="35" fillId="0" borderId="13" xfId="0" applyFont="1" applyBorder="1" applyAlignment="1">
      <alignment horizontal="center" vertical="center" wrapText="1"/>
    </xf>
    <xf numFmtId="0" fontId="35" fillId="7" borderId="7" xfId="0" applyFont="1" applyFill="1" applyBorder="1" applyAlignment="1">
      <alignment horizontal="center" vertical="center" wrapText="1"/>
    </xf>
    <xf numFmtId="166" fontId="29" fillId="12" borderId="8" xfId="0" applyNumberFormat="1" applyFont="1" applyFill="1" applyBorder="1" applyAlignment="1">
      <alignment horizontal="left" vertical="center"/>
    </xf>
    <xf numFmtId="166" fontId="29" fillId="12" borderId="2" xfId="0" applyNumberFormat="1" applyFont="1" applyFill="1" applyBorder="1" applyAlignment="1">
      <alignment horizontal="left" vertical="center" wrapText="1"/>
    </xf>
    <xf numFmtId="166" fontId="29" fillId="12" borderId="6" xfId="0" applyNumberFormat="1" applyFont="1" applyFill="1" applyBorder="1" applyAlignment="1">
      <alignment horizontal="left" vertical="center"/>
    </xf>
    <xf numFmtId="0" fontId="11" fillId="12" borderId="2" xfId="0" applyFont="1" applyFill="1" applyBorder="1" applyAlignment="1">
      <alignment horizontal="left" vertical="center"/>
    </xf>
    <xf numFmtId="0" fontId="3" fillId="12" borderId="2" xfId="0" applyFont="1" applyFill="1" applyBorder="1" applyAlignment="1">
      <alignment horizontal="left" vertical="center"/>
    </xf>
    <xf numFmtId="0" fontId="1" fillId="12" borderId="2" xfId="0" applyFont="1" applyFill="1" applyBorder="1" applyAlignment="1">
      <alignment horizontal="left" vertical="center"/>
    </xf>
    <xf numFmtId="0" fontId="12" fillId="12" borderId="7" xfId="0" applyFont="1" applyFill="1" applyBorder="1" applyAlignment="1">
      <alignment horizontal="left" vertical="center" wrapText="1"/>
    </xf>
    <xf numFmtId="0" fontId="12" fillId="12" borderId="7"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3" fillId="12" borderId="7" xfId="0" applyFont="1" applyFill="1" applyBorder="1" applyAlignment="1">
      <alignment horizontal="center" vertical="center" wrapText="1"/>
    </xf>
    <xf numFmtId="168" fontId="4" fillId="4" borderId="7" xfId="0" applyNumberFormat="1" applyFont="1" applyFill="1" applyBorder="1" applyAlignment="1">
      <alignment horizontal="center" vertical="center" wrapText="1"/>
    </xf>
    <xf numFmtId="0" fontId="1" fillId="12" borderId="7" xfId="0" applyFont="1" applyFill="1" applyBorder="1" applyAlignment="1">
      <alignment horizontal="left" vertical="center" wrapText="1"/>
    </xf>
    <xf numFmtId="9" fontId="1" fillId="12" borderId="7" xfId="0" applyNumberFormat="1" applyFont="1" applyFill="1" applyBorder="1" applyAlignment="1">
      <alignment horizontal="center" vertical="center" wrapText="1"/>
    </xf>
    <xf numFmtId="0" fontId="1" fillId="12" borderId="6" xfId="0" applyFont="1" applyFill="1" applyBorder="1" applyAlignment="1">
      <alignment horizontal="left" vertical="center" wrapText="1"/>
    </xf>
    <xf numFmtId="166" fontId="29" fillId="12" borderId="2" xfId="0" applyNumberFormat="1" applyFont="1" applyFill="1" applyBorder="1" applyAlignment="1">
      <alignment horizontal="right" vertical="center" wrapText="1"/>
    </xf>
    <xf numFmtId="166" fontId="47" fillId="7" borderId="8" xfId="0" applyNumberFormat="1" applyFont="1" applyFill="1" applyBorder="1" applyAlignment="1">
      <alignment horizontal="left" vertical="center"/>
    </xf>
    <xf numFmtId="166" fontId="47" fillId="7" borderId="2" xfId="0" applyNumberFormat="1" applyFont="1" applyFill="1" applyBorder="1" applyAlignment="1">
      <alignment horizontal="left" vertical="center" wrapText="1"/>
    </xf>
    <xf numFmtId="166" fontId="47" fillId="7" borderId="6" xfId="0" applyNumberFormat="1" applyFont="1" applyFill="1" applyBorder="1" applyAlignment="1">
      <alignment horizontal="left" vertical="center"/>
    </xf>
    <xf numFmtId="0" fontId="48" fillId="7" borderId="2" xfId="0" applyFont="1" applyFill="1" applyBorder="1" applyAlignment="1">
      <alignment horizontal="left" vertical="center"/>
    </xf>
    <xf numFmtId="0" fontId="38" fillId="7" borderId="2" xfId="0" applyFont="1" applyFill="1" applyBorder="1" applyAlignment="1">
      <alignment horizontal="left" vertical="center"/>
    </xf>
    <xf numFmtId="0" fontId="41" fillId="7" borderId="7" xfId="0" applyFont="1" applyFill="1" applyBorder="1" applyAlignment="1">
      <alignment horizontal="center" vertical="center"/>
    </xf>
    <xf numFmtId="0" fontId="49" fillId="7" borderId="7" xfId="0" applyFont="1" applyFill="1" applyBorder="1" applyAlignment="1">
      <alignment horizontal="left" vertical="center" wrapText="1"/>
    </xf>
    <xf numFmtId="0" fontId="49" fillId="7" borderId="7" xfId="0" applyFont="1" applyFill="1" applyBorder="1" applyAlignment="1">
      <alignment horizontal="center" vertical="center" wrapText="1"/>
    </xf>
    <xf numFmtId="0" fontId="41" fillId="7" borderId="8" xfId="0" applyFont="1" applyFill="1" applyBorder="1" applyAlignment="1">
      <alignment horizontal="center" vertical="center" wrapText="1"/>
    </xf>
    <xf numFmtId="0" fontId="41" fillId="7" borderId="7" xfId="0" applyFont="1" applyFill="1" applyBorder="1" applyAlignment="1">
      <alignment horizontal="center" vertical="center" wrapText="1"/>
    </xf>
    <xf numFmtId="0" fontId="50" fillId="0" borderId="8" xfId="0" applyFont="1" applyBorder="1" applyAlignment="1">
      <alignment vertical="center" wrapText="1"/>
    </xf>
    <xf numFmtId="166" fontId="42" fillId="0" borderId="8" xfId="0" applyNumberFormat="1" applyFont="1" applyBorder="1" applyAlignment="1">
      <alignment horizontal="left" vertical="center"/>
    </xf>
    <xf numFmtId="15" fontId="6" fillId="7" borderId="7" xfId="0" applyNumberFormat="1" applyFont="1" applyFill="1" applyBorder="1" applyAlignment="1">
      <alignment horizontal="center" vertical="center" wrapText="1"/>
    </xf>
    <xf numFmtId="0" fontId="51" fillId="0" borderId="8" xfId="0" applyFont="1" applyBorder="1" applyAlignment="1">
      <alignment vertical="center" wrapText="1"/>
    </xf>
    <xf numFmtId="166" fontId="28" fillId="0" borderId="12" xfId="0" applyNumberFormat="1" applyFont="1" applyBorder="1" applyAlignment="1">
      <alignment horizontal="left" vertical="center"/>
    </xf>
    <xf numFmtId="0" fontId="3" fillId="0" borderId="11" xfId="0" applyFont="1" applyBorder="1" applyAlignment="1">
      <alignment horizontal="left" vertical="center" wrapText="1"/>
    </xf>
    <xf numFmtId="15" fontId="3" fillId="0" borderId="11" xfId="0" applyNumberFormat="1" applyFont="1" applyBorder="1" applyAlignment="1">
      <alignment horizontal="center" vertical="center"/>
    </xf>
    <xf numFmtId="9" fontId="3" fillId="0" borderId="11" xfId="0" applyNumberFormat="1" applyFont="1" applyBorder="1" applyAlignment="1">
      <alignment horizontal="center" vertical="center" wrapText="1"/>
    </xf>
    <xf numFmtId="0" fontId="3" fillId="0" borderId="12" xfId="0" applyFont="1" applyBorder="1" applyAlignment="1">
      <alignment horizontal="left" vertical="center" wrapText="1"/>
    </xf>
    <xf numFmtId="0" fontId="1" fillId="4" borderId="7" xfId="0" applyFont="1" applyFill="1" applyBorder="1" applyAlignment="1">
      <alignment horizontal="center" vertical="center" wrapText="1"/>
    </xf>
    <xf numFmtId="15" fontId="1"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9" fontId="1" fillId="6" borderId="7" xfId="0" applyNumberFormat="1" applyFont="1" applyFill="1" applyBorder="1" applyAlignment="1">
      <alignment horizontal="center" vertical="center" wrapText="1"/>
    </xf>
    <xf numFmtId="0" fontId="1" fillId="13" borderId="0" xfId="0" applyFont="1" applyFill="1" applyAlignment="1">
      <alignment horizontal="left" vertical="center"/>
    </xf>
    <xf numFmtId="0" fontId="3" fillId="13" borderId="0" xfId="0" applyFont="1" applyFill="1" applyAlignment="1">
      <alignment horizontal="left" vertical="center"/>
    </xf>
    <xf numFmtId="14" fontId="5" fillId="2" borderId="2" xfId="0" applyNumberFormat="1" applyFont="1" applyFill="1" applyBorder="1" applyAlignment="1">
      <alignment horizontal="center" vertical="top"/>
    </xf>
    <xf numFmtId="0" fontId="5" fillId="3" borderId="3" xfId="0" applyFont="1" applyFill="1" applyBorder="1" applyAlignment="1">
      <alignment horizontal="center" vertical="center"/>
    </xf>
    <xf numFmtId="0" fontId="5" fillId="3" borderId="5" xfId="0" applyFont="1" applyFill="1" applyBorder="1" applyAlignment="1">
      <alignment horizontal="center" vertical="center"/>
    </xf>
    <xf numFmtId="0" fontId="25" fillId="3" borderId="3" xfId="0" applyFont="1" applyFill="1" applyBorder="1" applyAlignment="1">
      <alignment horizontal="center" vertical="center"/>
    </xf>
    <xf numFmtId="0" fontId="3" fillId="0" borderId="18" xfId="0" applyFont="1" applyBorder="1" applyAlignment="1">
      <alignment horizontal="center" vertical="center" wrapText="1"/>
    </xf>
    <xf numFmtId="0" fontId="3" fillId="0" borderId="18" xfId="0" applyFont="1" applyBorder="1" applyAlignment="1">
      <alignment vertical="center" wrapText="1"/>
    </xf>
    <xf numFmtId="0" fontId="1" fillId="0" borderId="18" xfId="0" applyFont="1" applyBorder="1" applyAlignment="1">
      <alignment horizontal="center" vertical="center" wrapText="1"/>
    </xf>
    <xf numFmtId="0" fontId="17" fillId="2" borderId="14" xfId="0" applyFont="1" applyFill="1" applyBorder="1" applyAlignment="1">
      <alignment horizontal="center" vertical="center"/>
    </xf>
    <xf numFmtId="0" fontId="53" fillId="2" borderId="14" xfId="0" applyFont="1" applyFill="1" applyBorder="1" applyAlignment="1">
      <alignment horizontal="center" vertical="center"/>
    </xf>
    <xf numFmtId="0" fontId="7" fillId="0" borderId="2" xfId="0" applyFont="1" applyBorder="1" applyAlignment="1"/>
    <xf numFmtId="0" fontId="7" fillId="0" borderId="5" xfId="0" applyFont="1" applyBorder="1" applyAlignment="1"/>
    <xf numFmtId="0" fontId="7" fillId="0" borderId="4" xfId="0" applyFont="1" applyBorder="1" applyAlignment="1"/>
    <xf numFmtId="0" fontId="7" fillId="0" borderId="15" xfId="0" applyFont="1" applyBorder="1" applyAlignment="1"/>
    <xf numFmtId="0" fontId="7" fillId="0" borderId="16" xfId="0" applyFont="1" applyBorder="1" applyAlignment="1"/>
    <xf numFmtId="0" fontId="7" fillId="0" borderId="11" xfId="0" applyFont="1" applyBorder="1" applyAlignment="1"/>
  </cellXfs>
  <cellStyles count="1">
    <cellStyle name="Normal" xfId="0" builtinId="0"/>
  </cellStyles>
  <dxfs count="387">
    <dxf>
      <fill>
        <patternFill patternType="solid">
          <fgColor rgb="FFED6055"/>
          <bgColor rgb="FFED6055"/>
        </patternFill>
      </fill>
    </dxf>
    <dxf>
      <fill>
        <patternFill patternType="none"/>
      </fill>
    </dxf>
    <dxf>
      <fill>
        <patternFill patternType="none"/>
      </fill>
      <border>
        <left style="thin">
          <color theme="5"/>
        </left>
        <right style="thin">
          <color theme="5"/>
        </right>
      </border>
    </dxf>
    <dxf>
      <fill>
        <patternFill patternType="solid">
          <fgColor rgb="FFED6055"/>
          <bgColor rgb="FFED6055"/>
        </patternFill>
      </fill>
      <border>
        <left style="thin">
          <color theme="5"/>
        </left>
        <right style="thin">
          <color theme="5"/>
        </right>
      </border>
    </dxf>
    <dxf>
      <fill>
        <patternFill patternType="solid">
          <fgColor rgb="FFD8D8D8"/>
          <bgColor rgb="FFD8D8D8"/>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D8D8D8"/>
          <bgColor rgb="FFD8D8D8"/>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F2F2F2"/>
          <bgColor rgb="FFF2F2F2"/>
        </patternFill>
      </fill>
    </dxf>
    <dxf>
      <fill>
        <patternFill patternType="solid">
          <fgColor rgb="FFD8D8D8"/>
          <bgColor rgb="FFD8D8D8"/>
        </patternFill>
      </fill>
    </dxf>
    <dxf>
      <fill>
        <patternFill patternType="solid">
          <fgColor rgb="FFD8D8D8"/>
          <bgColor rgb="FFD8D8D8"/>
        </patternFill>
      </fill>
    </dxf>
    <dxf>
      <fill>
        <patternFill patternType="solid">
          <fgColor rgb="FFF2F2F2"/>
          <bgColor rgb="FFF2F2F2"/>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D8D8D8"/>
          <bgColor rgb="FFD8D8D8"/>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FEF2CB"/>
          <bgColor rgb="FFFEF2CB"/>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FEF2CB"/>
          <bgColor rgb="FFFEF2CB"/>
        </patternFill>
      </fill>
    </dxf>
    <dxf>
      <fill>
        <patternFill patternType="solid">
          <fgColor rgb="FFFEF2CB"/>
          <bgColor rgb="FFFEF2CB"/>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F2F2F2"/>
          <bgColor rgb="FFF2F2F2"/>
        </patternFill>
      </fill>
    </dxf>
    <dxf>
      <fill>
        <patternFill patternType="solid">
          <fgColor rgb="FFD8D8D8"/>
          <bgColor rgb="FFD8D8D8"/>
        </patternFill>
      </fill>
    </dxf>
    <dxf>
      <fill>
        <patternFill patternType="solid">
          <fgColor rgb="FFFEF2CB"/>
          <bgColor rgb="FFFEF2CB"/>
        </patternFill>
      </fill>
    </dxf>
    <dxf>
      <fill>
        <patternFill patternType="solid">
          <fgColor rgb="FFD8D8D8"/>
          <bgColor rgb="FFD8D8D8"/>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D8D8D8"/>
          <bgColor rgb="FFD8D8D8"/>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2F2F2"/>
          <bgColor rgb="FFF2F2F2"/>
        </patternFill>
      </fill>
    </dxf>
    <dxf>
      <fill>
        <patternFill patternType="solid">
          <fgColor rgb="FFFEF2CB"/>
          <bgColor rgb="FFFEF2CB"/>
        </patternFill>
      </fill>
    </dxf>
    <dxf>
      <fill>
        <patternFill patternType="solid">
          <fgColor rgb="FFD8D8D8"/>
          <bgColor rgb="FFD8D8D8"/>
        </patternFill>
      </fill>
    </dxf>
    <dxf>
      <fill>
        <patternFill patternType="solid">
          <fgColor rgb="FFF2F2F2"/>
          <bgColor rgb="FFF2F2F2"/>
        </patternFill>
      </fill>
    </dxf>
    <dxf>
      <fill>
        <patternFill patternType="solid">
          <fgColor rgb="FFFEF2CB"/>
          <bgColor rgb="FFFEF2CB"/>
        </patternFill>
      </fill>
    </dxf>
    <dxf>
      <fill>
        <patternFill patternType="solid">
          <fgColor rgb="FFD8D8D8"/>
          <bgColor rgb="FFD8D8D8"/>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ont>
        <b/>
        <color theme="0"/>
      </font>
      <fill>
        <patternFill patternType="solid">
          <fgColor rgb="FF7F7F7F"/>
          <bgColor rgb="FF7F7F7F"/>
        </patternFill>
      </fill>
    </dxf>
    <dxf>
      <font>
        <b/>
        <color theme="0"/>
      </font>
      <fill>
        <patternFill patternType="solid">
          <fgColor rgb="FFBFBFBF"/>
          <bgColor rgb="FFBFBFBF"/>
        </patternFill>
      </fill>
    </dxf>
    <dxf>
      <font>
        <color rgb="FF595959"/>
      </font>
      <fill>
        <patternFill patternType="solid">
          <fgColor rgb="FFF2F2F2"/>
          <bgColor rgb="FFF2F2F2"/>
        </patternFill>
      </fill>
    </dxf>
    <dxf>
      <font>
        <b/>
        <color theme="0"/>
      </font>
      <fill>
        <patternFill patternType="solid">
          <fgColor rgb="FF7F7F7F"/>
          <bgColor rgb="FF7F7F7F"/>
        </patternFill>
      </fill>
    </dxf>
    <dxf>
      <font>
        <b/>
        <color theme="0"/>
      </font>
      <fill>
        <patternFill patternType="solid">
          <fgColor rgb="FFBFBFBF"/>
          <bgColor rgb="FFBFBFBF"/>
        </patternFill>
      </fill>
    </dxf>
    <dxf>
      <font>
        <color rgb="FF595959"/>
      </font>
      <fill>
        <patternFill patternType="solid">
          <fgColor rgb="FFF2F2F2"/>
          <bgColor rgb="FFF2F2F2"/>
        </patternFill>
      </fill>
    </dxf>
    <dxf>
      <font>
        <b/>
        <color theme="0"/>
      </font>
      <fill>
        <patternFill patternType="solid">
          <fgColor rgb="FF7F7F7F"/>
          <bgColor rgb="FF7F7F7F"/>
        </patternFill>
      </fill>
    </dxf>
    <dxf>
      <font>
        <b/>
        <color theme="0"/>
      </font>
      <fill>
        <patternFill patternType="solid">
          <fgColor rgb="FFBFBFBF"/>
          <bgColor rgb="FFBFBFBF"/>
        </patternFill>
      </fill>
    </dxf>
    <dxf>
      <font>
        <color rgb="FF595959"/>
      </font>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F2F2F2"/>
          <bgColor rgb="FFF2F2F2"/>
        </patternFill>
      </fill>
    </dxf>
    <dxf>
      <fill>
        <patternFill patternType="solid">
          <fgColor rgb="FFD8D8D8"/>
          <bgColor rgb="FFD8D8D8"/>
        </patternFill>
      </fill>
    </dxf>
    <dxf>
      <fill>
        <patternFill patternType="solid">
          <fgColor rgb="FFF2F2F2"/>
          <bgColor rgb="FFF2F2F2"/>
        </patternFill>
      </fill>
    </dxf>
    <dxf>
      <fill>
        <patternFill patternType="solid">
          <fgColor rgb="FFD8D8D8"/>
          <bgColor rgb="FFD8D8D8"/>
        </patternFill>
      </fill>
    </dxf>
    <dxf>
      <fill>
        <patternFill patternType="solid">
          <fgColor rgb="FFD8D8D8"/>
          <bgColor rgb="FFD8D8D8"/>
        </patternFill>
      </fill>
    </dxf>
    <dxf>
      <fill>
        <patternFill patternType="solid">
          <fgColor rgb="FFD9D9D9"/>
          <bgColor rgb="FFD9D9D9"/>
        </patternFill>
      </fill>
    </dxf>
    <dxf>
      <font>
        <b/>
      </font>
      <fill>
        <patternFill patternType="solid">
          <fgColor rgb="FFD8D8D8"/>
          <bgColor rgb="FFD8D8D8"/>
        </patternFill>
      </fill>
    </dxf>
    <dxf>
      <fill>
        <patternFill patternType="solid">
          <fgColor rgb="FF7F7F7F"/>
          <bgColor rgb="FF7F7F7F"/>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7F7F7F"/>
          <bgColor rgb="FF7F7F7F"/>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D9D9D9"/>
          <bgColor rgb="FFD9D9D9"/>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D9D9D9"/>
          <bgColor rgb="FFD9D9D9"/>
        </patternFill>
      </fill>
    </dxf>
    <dxf>
      <fill>
        <patternFill patternType="solid">
          <fgColor rgb="FFD9D9D9"/>
          <bgColor rgb="FFD9D9D9"/>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D9D9D9"/>
          <bgColor rgb="FFD9D9D9"/>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D9D9D9"/>
          <bgColor rgb="FFD9D9D9"/>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D9D9D9"/>
          <bgColor rgb="FFD9D9D9"/>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D9D9D9"/>
          <bgColor rgb="FFD9D9D9"/>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7F7F7F"/>
          <bgColor rgb="FF7F7F7F"/>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solid">
          <fgColor rgb="FFFF0000"/>
          <bgColor rgb="FFFF0000"/>
        </patternFill>
      </fill>
    </dxf>
    <dxf>
      <fill>
        <patternFill patternType="none"/>
      </fill>
    </dxf>
    <dxf>
      <fill>
        <patternFill patternType="none"/>
      </fill>
      <border>
        <left style="thin">
          <color theme="5"/>
        </left>
        <right style="thin">
          <color theme="5"/>
        </right>
      </border>
    </dxf>
    <dxf>
      <fill>
        <patternFill patternType="solid">
          <fgColor rgb="FFFF0000"/>
          <bgColor rgb="FFFF0000"/>
        </patternFill>
      </fill>
      <border>
        <left style="thin">
          <color theme="5"/>
        </left>
        <right style="thin">
          <color theme="5"/>
        </right>
      </border>
    </dxf>
    <dxf>
      <fill>
        <patternFill patternType="solid">
          <fgColor rgb="FFD9D9D9"/>
          <bgColor rgb="FFD9D9D9"/>
        </patternFill>
      </fill>
    </dxf>
    <dxf>
      <fill>
        <patternFill patternType="solid">
          <fgColor rgb="FFD9D9D9"/>
          <bgColor rgb="FFD9D9D9"/>
        </patternFill>
      </fill>
    </dxf>
    <dxf>
      <fill>
        <patternFill patternType="solid">
          <fgColor rgb="FF7F7F7F"/>
          <bgColor rgb="FF7F7F7F"/>
        </patternFill>
      </fill>
    </dxf>
    <dxf>
      <fill>
        <patternFill patternType="solid">
          <fgColor rgb="FFFEF2CB"/>
          <bgColor rgb="FFFEF2CB"/>
        </patternFill>
      </fill>
    </dxf>
    <dxf>
      <fill>
        <patternFill patternType="solid">
          <fgColor rgb="FFDEEAF6"/>
          <bgColor rgb="FFDEEAF6"/>
        </patternFill>
      </fill>
    </dxf>
    <dxf>
      <fill>
        <patternFill patternType="solid">
          <fgColor rgb="FF7F7F7F"/>
          <bgColor rgb="FF7F7F7F"/>
        </patternFill>
      </fill>
    </dxf>
    <dxf>
      <fill>
        <patternFill patternType="solid">
          <fgColor rgb="FFD9D9D9"/>
          <bgColor rgb="FFD9D9D9"/>
        </patternFill>
      </fill>
    </dxf>
    <dxf>
      <fill>
        <patternFill patternType="solid">
          <fgColor rgb="FFD9D9D9"/>
          <bgColor rgb="FFD9D9D9"/>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
      <fill>
        <patternFill patternType="none"/>
      </fill>
    </dxf>
    <dxf>
      <fill>
        <patternFill patternType="solid">
          <fgColor rgb="FFF2F2F2"/>
          <bgColor rgb="FFF2F2F2"/>
        </patternFill>
      </fill>
    </dxf>
    <dxf>
      <font>
        <b/>
      </font>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customschemas.google.com/relationships/workbookmetadata" Target="metadata"/><Relationship Id="rId23" Type="http://schemas.openxmlformats.org/officeDocument/2006/relationships/customXml" Target="../customXml/item3.xml"/><Relationship Id="rId10" Type="http://schemas.openxmlformats.org/officeDocument/2006/relationships/externalLink" Target="externalLinks/externalLink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5.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95250</xdr:rowOff>
    </xdr:from>
    <xdr:ext cx="4124325" cy="3905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238125</xdr:rowOff>
    </xdr:from>
    <xdr:ext cx="2924175" cy="285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egawideph.sharepoint.com/personal/zocampo_megawide_com_ph/Documents/Microsoft%20Teams%20Chat%20Files/EPC.%20PMO.%20Project%20Risk%20Registers/Ronquillo/UTE322.%20OPS.%20Risk%20Registry%20Matrix.%202021%2002%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egawideph.sharepoint.com/Users/zocampo/Downloads/CEO.%20Files%20and%20Schedules.%202020%2005%202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egawideph.sharepoint.com/Users/edgarsaavedra/Library/Containers/com.microsoft.Excel/Data/Documents/about:blank"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egawideph.sharepoint.com/sites/HLD.DEP.BDVMOM/Shared%20Documents/020%20BRT.%20Cavite.%20BRTCo/100%20Pre-development/170%20Gantt%20Chart%20and%20Tracker/CORP.%20MOM.%20Cavite%20Work%20Program%20v2.%202022%2002%20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egawideph-my.sharepoint.com/personal/fasantos_ph1world_com/Documents/PH1.PBD.PRJ.Work%20Program%20-%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egawideph-my.sharepoint.com/personal/jmjaramillo_megawide_com_ph/Documents/Microsoft%20Teams%20Chat%20Files/PH1.PD.VFX.Work%20Program%20-%20Working%20Fil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egawideph.sharepoint.com/63CB978C/HLD.%20CEO.%20Risks%20and%20Opportunities%20Register%20-%20Consolidated.%202021%2009%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oject Info"/>
      <sheetName val="EPC Project Risk Categorization"/>
      <sheetName val="Inputs for Risk Heat Map"/>
      <sheetName val="Risk Assessment Criteria - old"/>
      <sheetName val="EPC Project Risk Register"/>
      <sheetName val="Dropdown List"/>
      <sheetName val="Criteria for Risk Assessment"/>
      <sheetName val="Control Masterlist"/>
      <sheetName val="Conso Project Risk Register"/>
      <sheetName val="UTE322. OPS"/>
      <sheetName val="UTE322.%20OPS"/>
    </sheetNames>
    <sheetDataSet>
      <sheetData sheetId="0"/>
      <sheetData sheetId="1"/>
      <sheetData sheetId="2"/>
      <sheetData sheetId="3"/>
      <sheetData sheetId="4"/>
      <sheetData sheetId="5"/>
      <sheetData sheetId="6"/>
      <sheetData sheetId="7"/>
      <sheetData sheetId="8"/>
      <sheetData sheetId="9"/>
      <sheetData sheetId="10" refreshError="1"/>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Pls Duplicate"/>
      <sheetName val="EPC"/>
      <sheetName val="EPC CEO - Work Plan"/>
      <sheetName val="CEO Teams - File Directory"/>
      <sheetName val="Calendar &gt;&gt;"/>
      <sheetName val="JUNE"/>
      <sheetName val="JULY"/>
      <sheetName val="AUGUST"/>
      <sheetName val="SEPT"/>
      <sheetName val="Sheet1"/>
      <sheetName val="MSPI old"/>
      <sheetName val="Suntrust Finance Tower"/>
      <sheetName val="Folder Structure Example"/>
      <sheetName val="Folder Structure Template"/>
      <sheetName val="Copy of 5 PMLC"/>
      <sheetName val="rates"/>
      <sheetName val="bar chart-rev"/>
      <sheetName val="Bill 3 -BPO1"/>
      <sheetName val="Bill 3 -BPO2"/>
      <sheetName val="Bill 2 -RETAIL"/>
      <sheetName val="PCSum Total Blended"/>
      <sheetName val="EX_STRBQ"/>
      <sheetName val="costs"/>
      <sheetName val="opsta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Sheet1"/>
      <sheetName val="rates"/>
      <sheetName val="PH 5"/>
      <sheetName val="Projects &amp; Brokers list"/>
      <sheetName val="Tower 1 "/>
      <sheetName val="AT Centera 06.30.2013 (Net)"/>
      <sheetName val="project brief"/>
      <sheetName val="방배동내역(리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sary of Terms"/>
      <sheetName val="MGI Work Program"/>
      <sheetName val="Work Program"/>
      <sheetName val="MCC (new dates)"/>
      <sheetName val="A"/>
      <sheetName val="T"/>
      <sheetName val="BU Setup"/>
      <sheetName val="Holidays"/>
      <sheetName val="Full Project Phases"/>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 Program (ES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 Program FOR TESTING"/>
      <sheetName val="Work Program (ESA)"/>
      <sheetName val="Work Program"/>
      <sheetName val="Work Program (LTS)"/>
      <sheetName val="Work Program (TLS) U"/>
      <sheetName val="Work Program (TLS) (OLD)"/>
      <sheetName val="Work Program (TLS)"/>
      <sheetName val="MARKETING"/>
      <sheetName val="CRITICAL ITEMS"/>
      <sheetName val="MEETING NOTES"/>
      <sheetName val="Glossary of Terms"/>
      <sheetName val="AREA TAB"/>
      <sheetName val="COSTING"/>
      <sheetName val="COSTING (OL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lossary of Terms"/>
      <sheetName val="SBU Info"/>
      <sheetName val="EPC Project Risk Categorization"/>
      <sheetName val="Inputs for Risk Heat Map"/>
      <sheetName val="Dashboard"/>
      <sheetName val="RO Register"/>
      <sheetName val="SWOT Library"/>
      <sheetName val="Sheet1"/>
      <sheetName val=" SWOT Library"/>
      <sheetName val="External Analysis"/>
      <sheetName val="Sample RO"/>
      <sheetName val=" SWOT Library (EPC)"/>
      <sheetName val="Risk Assessment Criteria - old"/>
      <sheetName val="Control Masterlist"/>
      <sheetName val="Conso Project Risk Register"/>
      <sheetName val="_56F9DC9755BA473782653E2940F9"/>
      <sheetName val="Criteria for Risk Assessmen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BN125"/>
  <sheetViews>
    <sheetView showGridLines="0" tabSelected="1" workbookViewId="0">
      <pane xSplit="8" ySplit="8" topLeftCell="I112" activePane="bottomRight" state="frozen"/>
      <selection pane="bottomRight" activeCell="A118" sqref="A118:B119"/>
      <selection pane="bottomLeft"/>
      <selection pane="topRight"/>
    </sheetView>
  </sheetViews>
  <sheetFormatPr defaultColWidth="12.625" defaultRowHeight="15" customHeight="1" outlineLevelRow="3" outlineLevelCol="1"/>
  <cols>
    <col min="1" max="7" width="5.625" customWidth="1"/>
    <col min="8" max="8" width="48.375" customWidth="1"/>
    <col min="9" max="9" width="5.375" customWidth="1"/>
    <col min="10" max="10" width="50.875" customWidth="1" outlineLevel="1"/>
    <col min="11" max="11" width="15.25" customWidth="1" outlineLevel="1"/>
    <col min="12" max="12" width="8.875" customWidth="1"/>
    <col min="13" max="13" width="20.625" customWidth="1"/>
    <col min="14" max="14" width="1.625" customWidth="1"/>
    <col min="15" max="16" width="10.625" customWidth="1" outlineLevel="1"/>
    <col min="17" max="18" width="15.625" customWidth="1" outlineLevel="1"/>
    <col min="19" max="19" width="1.625" customWidth="1"/>
    <col min="20" max="21" width="10.625" customWidth="1" outlineLevel="1"/>
    <col min="22" max="23" width="15.625" customWidth="1" outlineLevel="1"/>
    <col min="24" max="24" width="1.625" customWidth="1"/>
    <col min="25" max="29" width="20.625" customWidth="1" outlineLevel="1"/>
    <col min="30" max="30" width="1" customWidth="1"/>
    <col min="31" max="65" width="3.625" customWidth="1"/>
    <col min="66" max="66" width="3.75" customWidth="1"/>
  </cols>
  <sheetData>
    <row r="1" spans="1:66" ht="42.75" customHeight="1">
      <c r="A1" s="1"/>
      <c r="B1" s="2"/>
      <c r="C1" s="3"/>
      <c r="D1" s="3"/>
      <c r="E1" s="3"/>
      <c r="F1" s="3"/>
      <c r="G1" s="3"/>
      <c r="H1" s="3"/>
      <c r="I1" s="4"/>
      <c r="J1" s="5"/>
      <c r="K1" s="6"/>
      <c r="L1" s="6"/>
      <c r="M1" s="6"/>
      <c r="N1" s="6"/>
      <c r="O1" s="6"/>
      <c r="P1" s="6"/>
      <c r="Q1" s="7"/>
      <c r="R1" s="7"/>
      <c r="S1" s="6"/>
      <c r="T1" s="6"/>
      <c r="U1" s="6"/>
      <c r="V1" s="7"/>
      <c r="W1" s="7"/>
      <c r="X1" s="8"/>
      <c r="Y1" s="9"/>
      <c r="Z1" s="9"/>
      <c r="AA1" s="9"/>
      <c r="AB1" s="9"/>
      <c r="AC1" s="9"/>
      <c r="AD1" s="3"/>
      <c r="AE1" s="7"/>
      <c r="AF1" s="10"/>
      <c r="AG1" s="10"/>
      <c r="AH1" s="10"/>
      <c r="AI1" s="10"/>
      <c r="AJ1" s="10"/>
      <c r="AK1" s="10"/>
      <c r="AL1" s="10"/>
      <c r="AM1" s="10"/>
      <c r="AN1" s="10"/>
      <c r="AO1" s="10"/>
      <c r="AP1" s="10"/>
      <c r="AQ1" s="10"/>
      <c r="AR1" s="10"/>
      <c r="AS1" s="10"/>
      <c r="AT1" s="10"/>
      <c r="AU1" s="10"/>
      <c r="AV1" s="10"/>
      <c r="AW1" s="10"/>
      <c r="AX1" s="10"/>
      <c r="AY1" s="5"/>
      <c r="AZ1" s="5"/>
      <c r="BA1" s="5"/>
      <c r="BB1" s="5"/>
      <c r="BC1" s="5"/>
      <c r="BD1" s="5"/>
      <c r="BE1" s="5"/>
      <c r="BF1" s="5"/>
      <c r="BG1" s="5"/>
      <c r="BH1" s="5"/>
      <c r="BI1" s="5"/>
      <c r="BJ1" s="5"/>
      <c r="BK1" s="5"/>
      <c r="BL1" s="5"/>
      <c r="BM1" s="5"/>
      <c r="BN1" s="11" t="s">
        <v>0</v>
      </c>
    </row>
    <row r="2" spans="1:66">
      <c r="A2" s="188" t="s">
        <v>1</v>
      </c>
      <c r="B2" s="188"/>
      <c r="C2" s="188"/>
      <c r="D2" s="188"/>
      <c r="E2" s="188"/>
      <c r="F2" s="188"/>
      <c r="G2" s="188"/>
      <c r="H2" s="188"/>
      <c r="I2" s="189"/>
      <c r="J2" s="188"/>
      <c r="K2" s="190"/>
      <c r="L2" s="188"/>
      <c r="M2" s="188"/>
      <c r="N2" s="188"/>
      <c r="O2" s="188"/>
      <c r="P2" s="188"/>
      <c r="Q2" s="189"/>
      <c r="R2" s="189"/>
      <c r="S2" s="188"/>
      <c r="T2" s="188"/>
      <c r="U2" s="188"/>
      <c r="V2" s="189"/>
      <c r="W2" s="189"/>
      <c r="X2" s="191"/>
      <c r="Y2" s="188"/>
      <c r="Z2" s="192"/>
      <c r="AA2" s="192"/>
      <c r="AB2" s="192"/>
      <c r="AC2" s="192"/>
      <c r="AD2" s="188"/>
      <c r="AE2" s="188"/>
      <c r="AF2" s="188"/>
      <c r="AG2" s="188"/>
      <c r="AH2" s="188"/>
      <c r="AI2" s="188"/>
      <c r="AJ2" s="188"/>
      <c r="AK2" s="188"/>
      <c r="AL2" s="188"/>
      <c r="AM2" s="188"/>
      <c r="AN2" s="188"/>
      <c r="AO2" s="188"/>
      <c r="AP2" s="188"/>
      <c r="AQ2" s="188"/>
      <c r="AR2" s="188"/>
      <c r="AS2" s="188"/>
      <c r="AT2" s="188"/>
      <c r="AU2" s="188"/>
      <c r="AV2" s="188"/>
      <c r="AW2" s="188"/>
      <c r="AX2" s="188"/>
      <c r="AY2" s="188"/>
      <c r="AZ2" s="188"/>
      <c r="BA2" s="188"/>
      <c r="BB2" s="188"/>
      <c r="BC2" s="188"/>
      <c r="BD2" s="188"/>
      <c r="BE2" s="188"/>
      <c r="BF2" s="188"/>
      <c r="BG2" s="188"/>
      <c r="BH2" s="188"/>
      <c r="BI2" s="188"/>
      <c r="BJ2" s="188"/>
      <c r="BK2" s="188"/>
      <c r="BL2" s="188"/>
      <c r="BM2" s="188"/>
      <c r="BN2" s="11" t="s">
        <v>0</v>
      </c>
    </row>
    <row r="3" spans="1:66" ht="18.75" customHeight="1">
      <c r="A3" s="188" t="s">
        <v>2</v>
      </c>
      <c r="B3" s="193"/>
      <c r="C3" s="193"/>
      <c r="D3" s="188"/>
      <c r="E3" s="193"/>
      <c r="F3" s="193"/>
      <c r="G3" s="193"/>
      <c r="H3" s="193"/>
      <c r="I3" s="194"/>
      <c r="J3" s="193"/>
      <c r="K3" s="195"/>
      <c r="L3" s="193"/>
      <c r="M3" s="193"/>
      <c r="N3" s="193"/>
      <c r="O3" s="193"/>
      <c r="P3" s="193"/>
      <c r="Q3" s="194"/>
      <c r="R3" s="194"/>
      <c r="S3" s="193"/>
      <c r="T3" s="193"/>
      <c r="U3" s="193"/>
      <c r="V3" s="194"/>
      <c r="W3" s="194"/>
      <c r="X3" s="196"/>
      <c r="Y3" s="193"/>
      <c r="Z3" s="197"/>
      <c r="AA3" s="197"/>
      <c r="AB3" s="197"/>
      <c r="AC3" s="197"/>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1" t="s">
        <v>0</v>
      </c>
    </row>
    <row r="4" spans="1:66" ht="18.75" customHeight="1" outlineLevel="1">
      <c r="A4" s="12" t="s">
        <v>3</v>
      </c>
      <c r="B4" s="12"/>
      <c r="C4" s="12"/>
      <c r="D4" s="13" t="s">
        <v>4</v>
      </c>
      <c r="E4" s="13"/>
      <c r="F4" s="13"/>
      <c r="G4" s="13"/>
      <c r="H4" s="13"/>
      <c r="I4" s="14"/>
      <c r="J4" s="13"/>
      <c r="K4" s="15"/>
      <c r="L4" s="13"/>
      <c r="M4" s="13"/>
      <c r="N4" s="13"/>
      <c r="O4" s="16" t="s">
        <v>5</v>
      </c>
      <c r="P4" s="17" t="s">
        <v>6</v>
      </c>
      <c r="Q4" s="13"/>
      <c r="R4" s="13"/>
      <c r="S4" s="13"/>
      <c r="T4" s="18"/>
      <c r="U4" s="13"/>
      <c r="V4" s="13"/>
      <c r="W4" s="13"/>
      <c r="X4" s="19"/>
      <c r="Y4" s="20"/>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1" t="s">
        <v>0</v>
      </c>
    </row>
    <row r="5" spans="1:66" ht="18.75" customHeight="1" outlineLevel="1">
      <c r="A5" s="12" t="s">
        <v>7</v>
      </c>
      <c r="B5" s="12"/>
      <c r="C5" s="12"/>
      <c r="D5" s="13" t="s">
        <v>8</v>
      </c>
      <c r="E5" s="13"/>
      <c r="F5" s="13"/>
      <c r="G5" s="13"/>
      <c r="H5" s="13"/>
      <c r="I5" s="21"/>
      <c r="J5" s="22"/>
      <c r="K5" s="22"/>
      <c r="L5" s="22"/>
      <c r="M5" s="22"/>
      <c r="N5" s="22"/>
      <c r="O5" s="16" t="s">
        <v>9</v>
      </c>
      <c r="P5" s="17" t="s">
        <v>10</v>
      </c>
      <c r="Q5" s="13"/>
      <c r="R5" s="13"/>
      <c r="S5" s="13"/>
      <c r="T5" s="18"/>
      <c r="U5" s="22"/>
      <c r="V5" s="22"/>
      <c r="W5" s="22"/>
      <c r="X5" s="19"/>
      <c r="Y5" s="22"/>
      <c r="Z5" s="22"/>
      <c r="AA5" s="22"/>
      <c r="AB5" s="22"/>
      <c r="AC5" s="22"/>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1" t="s">
        <v>0</v>
      </c>
    </row>
    <row r="6" spans="1:66" ht="18.75" customHeight="1" outlineLevel="1">
      <c r="A6" s="12" t="s">
        <v>11</v>
      </c>
      <c r="B6" s="12"/>
      <c r="C6" s="12"/>
      <c r="D6" s="406">
        <v>45810</v>
      </c>
      <c r="E6" s="415"/>
      <c r="F6" s="415"/>
      <c r="G6" s="415"/>
      <c r="H6" s="23"/>
      <c r="I6" s="23"/>
      <c r="J6" s="22"/>
      <c r="K6" s="22"/>
      <c r="L6" s="22"/>
      <c r="M6" s="22"/>
      <c r="N6" s="22"/>
      <c r="O6" s="13"/>
      <c r="P6" s="13"/>
      <c r="Q6" s="13"/>
      <c r="R6" s="13"/>
      <c r="S6" s="22"/>
      <c r="T6" s="13"/>
      <c r="U6" s="13"/>
      <c r="V6" s="13"/>
      <c r="W6" s="13"/>
      <c r="X6" s="24"/>
      <c r="Y6" s="22"/>
      <c r="Z6" s="22"/>
      <c r="AA6" s="22"/>
      <c r="AB6" s="22"/>
      <c r="AC6" s="22"/>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1" t="s">
        <v>0</v>
      </c>
    </row>
    <row r="7" spans="1:66" ht="18.75" customHeight="1">
      <c r="A7" s="13"/>
      <c r="B7" s="13"/>
      <c r="C7" s="13"/>
      <c r="D7" s="23"/>
      <c r="E7" s="23"/>
      <c r="F7" s="23"/>
      <c r="G7" s="23"/>
      <c r="H7" s="23"/>
      <c r="I7" s="23"/>
      <c r="J7" s="22"/>
      <c r="K7" s="22"/>
      <c r="L7" s="22"/>
      <c r="M7" s="22"/>
      <c r="N7" s="22"/>
      <c r="O7" s="198" t="s">
        <v>12</v>
      </c>
      <c r="P7" s="198"/>
      <c r="Q7" s="198"/>
      <c r="R7" s="198"/>
      <c r="S7" s="22"/>
      <c r="T7" s="198" t="s">
        <v>13</v>
      </c>
      <c r="U7" s="198"/>
      <c r="V7" s="199" t="s">
        <v>14</v>
      </c>
      <c r="W7" s="198"/>
      <c r="X7" s="24"/>
      <c r="Y7" s="22"/>
      <c r="Z7" s="22"/>
      <c r="AA7" s="22"/>
      <c r="AB7" s="22"/>
      <c r="AC7" s="22"/>
      <c r="AD7" s="13"/>
      <c r="AE7" s="200">
        <f>BM2/30</f>
        <v>0</v>
      </c>
      <c r="AF7" s="201">
        <f t="shared" ref="AF7:BM7" si="0">AE7+1</f>
        <v>1</v>
      </c>
      <c r="AG7" s="201">
        <f t="shared" si="0"/>
        <v>2</v>
      </c>
      <c r="AH7" s="201">
        <f t="shared" si="0"/>
        <v>3</v>
      </c>
      <c r="AI7" s="201">
        <f t="shared" si="0"/>
        <v>4</v>
      </c>
      <c r="AJ7" s="201">
        <f t="shared" si="0"/>
        <v>5</v>
      </c>
      <c r="AK7" s="201">
        <f t="shared" si="0"/>
        <v>6</v>
      </c>
      <c r="AL7" s="201">
        <f t="shared" si="0"/>
        <v>7</v>
      </c>
      <c r="AM7" s="201">
        <f t="shared" si="0"/>
        <v>8</v>
      </c>
      <c r="AN7" s="201">
        <f t="shared" si="0"/>
        <v>9</v>
      </c>
      <c r="AO7" s="201">
        <f t="shared" si="0"/>
        <v>10</v>
      </c>
      <c r="AP7" s="201">
        <f t="shared" si="0"/>
        <v>11</v>
      </c>
      <c r="AQ7" s="201">
        <f t="shared" si="0"/>
        <v>12</v>
      </c>
      <c r="AR7" s="201">
        <f t="shared" si="0"/>
        <v>13</v>
      </c>
      <c r="AS7" s="201">
        <f t="shared" si="0"/>
        <v>14</v>
      </c>
      <c r="AT7" s="201">
        <f t="shared" si="0"/>
        <v>15</v>
      </c>
      <c r="AU7" s="201">
        <f t="shared" si="0"/>
        <v>16</v>
      </c>
      <c r="AV7" s="201">
        <f t="shared" si="0"/>
        <v>17</v>
      </c>
      <c r="AW7" s="201">
        <f t="shared" si="0"/>
        <v>18</v>
      </c>
      <c r="AX7" s="201">
        <f t="shared" si="0"/>
        <v>19</v>
      </c>
      <c r="AY7" s="201">
        <f t="shared" si="0"/>
        <v>20</v>
      </c>
      <c r="AZ7" s="201">
        <f t="shared" si="0"/>
        <v>21</v>
      </c>
      <c r="BA7" s="201">
        <f t="shared" si="0"/>
        <v>22</v>
      </c>
      <c r="BB7" s="201">
        <f t="shared" si="0"/>
        <v>23</v>
      </c>
      <c r="BC7" s="201">
        <f t="shared" si="0"/>
        <v>24</v>
      </c>
      <c r="BD7" s="201">
        <f t="shared" si="0"/>
        <v>25</v>
      </c>
      <c r="BE7" s="201">
        <f t="shared" si="0"/>
        <v>26</v>
      </c>
      <c r="BF7" s="201">
        <f t="shared" si="0"/>
        <v>27</v>
      </c>
      <c r="BG7" s="201">
        <f t="shared" si="0"/>
        <v>28</v>
      </c>
      <c r="BH7" s="201">
        <f t="shared" si="0"/>
        <v>29</v>
      </c>
      <c r="BI7" s="201">
        <f t="shared" si="0"/>
        <v>30</v>
      </c>
      <c r="BJ7" s="201">
        <f t="shared" si="0"/>
        <v>31</v>
      </c>
      <c r="BK7" s="201">
        <f t="shared" si="0"/>
        <v>32</v>
      </c>
      <c r="BL7" s="201">
        <f t="shared" si="0"/>
        <v>33</v>
      </c>
      <c r="BM7" s="202">
        <f t="shared" si="0"/>
        <v>34</v>
      </c>
      <c r="BN7" s="11" t="s">
        <v>0</v>
      </c>
    </row>
    <row r="8" spans="1:66" ht="63.75" customHeight="1">
      <c r="A8" s="407" t="s">
        <v>15</v>
      </c>
      <c r="B8" s="416"/>
      <c r="C8" s="417"/>
      <c r="D8" s="408" t="s">
        <v>16</v>
      </c>
      <c r="E8" s="416"/>
      <c r="F8" s="416"/>
      <c r="G8" s="416"/>
      <c r="H8" s="416"/>
      <c r="I8" s="25" t="s">
        <v>17</v>
      </c>
      <c r="J8" s="203" t="s">
        <v>18</v>
      </c>
      <c r="K8" s="203" t="s">
        <v>19</v>
      </c>
      <c r="L8" s="200" t="s">
        <v>20</v>
      </c>
      <c r="M8" s="203" t="s">
        <v>21</v>
      </c>
      <c r="N8" s="26"/>
      <c r="O8" s="203" t="s">
        <v>22</v>
      </c>
      <c r="P8" s="203" t="s">
        <v>23</v>
      </c>
      <c r="Q8" s="203" t="s">
        <v>24</v>
      </c>
      <c r="R8" s="203" t="s">
        <v>25</v>
      </c>
      <c r="S8" s="22"/>
      <c r="T8" s="203" t="s">
        <v>22</v>
      </c>
      <c r="U8" s="203" t="s">
        <v>23</v>
      </c>
      <c r="V8" s="203" t="s">
        <v>26</v>
      </c>
      <c r="W8" s="203" t="s">
        <v>27</v>
      </c>
      <c r="X8" s="27"/>
      <c r="Y8" s="203" t="s">
        <v>28</v>
      </c>
      <c r="Z8" s="203" t="s">
        <v>29</v>
      </c>
      <c r="AA8" s="203" t="s">
        <v>30</v>
      </c>
      <c r="AB8" s="202" t="s">
        <v>31</v>
      </c>
      <c r="AC8" s="202" t="s">
        <v>32</v>
      </c>
      <c r="AD8" s="13"/>
      <c r="AE8" s="204">
        <f>DATE(YEAR(Q9),MONTH(Q9),BM2)</f>
        <v>45716</v>
      </c>
      <c r="AF8" s="205" cm="1">
        <f t="array" ref="AF8">_xlfn.IFS($P$4 = "Monthly", EOMONTH(AE8, 1), $P$4 = "Weekly", AE8 + 7, $P$4 = "Bi-weekly", AE8 + 14)</f>
        <v>45723</v>
      </c>
      <c r="AG8" s="205" cm="1">
        <f t="array" ref="AG8">_xlfn.IFS($P$4 = "Monthly", EOMONTH(AF8, 1), $P$4 = "Weekly", AF8 + 7, $P$4 = "Bi-weekly", AF8 + 14)</f>
        <v>45730</v>
      </c>
      <c r="AH8" s="205" cm="1">
        <f t="array" ref="AH8">_xlfn.IFS($P$4 = "Monthly", EOMONTH(AG8, 1), $P$4 = "Weekly", AG8 + 7, $P$4 = "Bi-weekly", AG8 + 14)</f>
        <v>45737</v>
      </c>
      <c r="AI8" s="205" cm="1">
        <f t="array" ref="AI8">_xlfn.IFS($P$4 = "Monthly", EOMONTH(AH8, 1), $P$4 = "Weekly", AH8 + 7, $P$4 = "Bi-weekly", AH8 + 14)</f>
        <v>45744</v>
      </c>
      <c r="AJ8" s="205" cm="1">
        <f t="array" ref="AJ8">_xlfn.IFS($P$4 = "Monthly", EOMONTH(AI8, 1), $P$4 = "Weekly", AI8 + 7, $P$4 = "Bi-weekly", AI8 + 14)</f>
        <v>45751</v>
      </c>
      <c r="AK8" s="205" cm="1">
        <f t="array" ref="AK8">_xlfn.IFS($P$4 = "Monthly", EOMONTH(AJ8, 1), $P$4 = "Weekly", AJ8 + 7, $P$4 = "Bi-weekly", AJ8 + 14)</f>
        <v>45758</v>
      </c>
      <c r="AL8" s="205" cm="1">
        <f t="array" ref="AL8">_xlfn.IFS($P$4 = "Monthly", EOMONTH(AK8, 1), $P$4 = "Weekly", AK8 + 7, $P$4 = "Bi-weekly", AK8 + 14)</f>
        <v>45765</v>
      </c>
      <c r="AM8" s="205" cm="1">
        <f t="array" ref="AM8">_xlfn.IFS($P$4 = "Monthly", EOMONTH(AL8, 1), $P$4 = "Weekly", AL8 + 7, $P$4 = "Bi-weekly", AL8 + 14)</f>
        <v>45772</v>
      </c>
      <c r="AN8" s="205" cm="1">
        <f t="array" ref="AN8">_xlfn.IFS($P$4 = "Monthly", EOMONTH(AM8, 1), $P$4 = "Weekly", AM8 + 7, $P$4 = "Bi-weekly", AM8 + 14)</f>
        <v>45779</v>
      </c>
      <c r="AO8" s="205" cm="1">
        <f t="array" ref="AO8">_xlfn.IFS($P$4 = "Monthly", EOMONTH(AN8, 1), $P$4 = "Weekly", AN8 + 7, $P$4 = "Bi-weekly", AN8 + 14)</f>
        <v>45786</v>
      </c>
      <c r="AP8" s="205" cm="1">
        <f t="array" ref="AP8">_xlfn.IFS($P$4 = "Monthly", EOMONTH(AO8, 1), $P$4 = "Weekly", AO8 + 7, $P$4 = "Bi-weekly", AO8 + 14)</f>
        <v>45793</v>
      </c>
      <c r="AQ8" s="205" cm="1">
        <f t="array" ref="AQ8">_xlfn.IFS($P$4 = "Monthly", EOMONTH(AP8, 1), $P$4 = "Weekly", AP8 + 7, $P$4 = "Bi-weekly", AP8 + 14)</f>
        <v>45800</v>
      </c>
      <c r="AR8" s="205" cm="1">
        <f t="array" ref="AR8">_xlfn.IFS($P$4 = "Monthly", EOMONTH(AQ8, 1), $P$4 = "Weekly", AQ8 + 7, $P$4 = "Bi-weekly", AQ8 + 14)</f>
        <v>45807</v>
      </c>
      <c r="AS8" s="205" cm="1">
        <f t="array" ref="AS8">_xlfn.IFS($P$4 = "Monthly", EOMONTH(AR8, 1), $P$4 = "Weekly", AR8 + 7, $P$4 = "Bi-weekly", AR8 + 14)</f>
        <v>45814</v>
      </c>
      <c r="AT8" s="205" cm="1">
        <f t="array" ref="AT8">_xlfn.IFS($P$4 = "Monthly", EOMONTH(AS8, 1), $P$4 = "Weekly", AS8 + 7, $P$4 = "Bi-weekly", AS8 + 14)</f>
        <v>45821</v>
      </c>
      <c r="AU8" s="205" cm="1">
        <f t="array" ref="AU8">_xlfn.IFS($P$4 = "Monthly", EOMONTH(AT8, 1), $P$4 = "Weekly", AT8 + 7, $P$4 = "Bi-weekly", AT8 + 14)</f>
        <v>45828</v>
      </c>
      <c r="AV8" s="205" cm="1">
        <f t="array" ref="AV8">_xlfn.IFS($P$4 = "Monthly", EOMONTH(AU8, 1), $P$4 = "Weekly", AU8 + 7, $P$4 = "Bi-weekly", AU8 + 14)</f>
        <v>45835</v>
      </c>
      <c r="AW8" s="205" cm="1">
        <f t="array" ref="AW8">_xlfn.IFS($P$4 = "Monthly", EOMONTH(AV8, 1), $P$4 = "Weekly", AV8 + 7, $P$4 = "Bi-weekly", AV8 + 14)</f>
        <v>45842</v>
      </c>
      <c r="AX8" s="205" cm="1">
        <f t="array" ref="AX8">_xlfn.IFS($P$4 = "Monthly", EOMONTH(AW8, 1), $P$4 = "Weekly", AW8 + 7, $P$4 = "Bi-weekly", AW8 + 14)</f>
        <v>45849</v>
      </c>
      <c r="AY8" s="205" cm="1">
        <f t="array" ref="AY8">_xlfn.IFS($P$4 = "Monthly", EOMONTH(AX8, 1), $P$4 = "Weekly", AX8 + 7, $P$4 = "Bi-weekly", AX8 + 14)</f>
        <v>45856</v>
      </c>
      <c r="AZ8" s="205" cm="1">
        <f t="array" ref="AZ8">_xlfn.IFS($P$4 = "Monthly", EOMONTH(AY8, 1), $P$4 = "Weekly", AY8 + 7, $P$4 = "Bi-weekly", AY8 + 14)</f>
        <v>45863</v>
      </c>
      <c r="BA8" s="205" cm="1">
        <f t="array" ref="BA8">_xlfn.IFS($P$4 = "Monthly", EOMONTH(AZ8, 1), $P$4 = "Weekly", AZ8 + 7, $P$4 = "Bi-weekly", AZ8 + 14)</f>
        <v>45870</v>
      </c>
      <c r="BB8" s="205" cm="1">
        <f t="array" ref="BB8">_xlfn.IFS($P$4 = "Monthly", EOMONTH(BA8, 1), $P$4 = "Weekly", BA8 + 7, $P$4 = "Bi-weekly", BA8 + 14)</f>
        <v>45877</v>
      </c>
      <c r="BC8" s="205" cm="1">
        <f t="array" ref="BC8">_xlfn.IFS($P$4 = "Monthly", EOMONTH(BB8, 1), $P$4 = "Weekly", BB8 + 7, $P$4 = "Bi-weekly", BB8 + 14)</f>
        <v>45884</v>
      </c>
      <c r="BD8" s="205" cm="1">
        <f t="array" ref="BD8">_xlfn.IFS($P$4 = "Monthly", EOMONTH(BC8, 1), $P$4 = "Weekly", BC8 + 7, $P$4 = "Bi-weekly", BC8 + 14)</f>
        <v>45891</v>
      </c>
      <c r="BE8" s="205" cm="1">
        <f t="array" ref="BE8">_xlfn.IFS($P$4 = "Monthly", EOMONTH(BD8, 1), $P$4 = "Weekly", BD8 + 7, $P$4 = "Bi-weekly", BD8 + 14)</f>
        <v>45898</v>
      </c>
      <c r="BF8" s="205" cm="1">
        <f t="array" ref="BF8">_xlfn.IFS($P$4 = "Monthly", EOMONTH(BE8, 1), $P$4 = "Weekly", BE8 + 7, $P$4 = "Bi-weekly", BE8 + 14)</f>
        <v>45905</v>
      </c>
      <c r="BG8" s="205" cm="1">
        <f t="array" ref="BG8">_xlfn.IFS($P$4 = "Monthly", EOMONTH(BF8, 1), $P$4 = "Weekly", BF8 + 7, $P$4 = "Bi-weekly", BF8 + 14)</f>
        <v>45912</v>
      </c>
      <c r="BH8" s="205" cm="1">
        <f t="array" ref="BH8">_xlfn.IFS($P$4 = "Monthly", EOMONTH(BG8, 1), $P$4 = "Weekly", BG8 + 7, $P$4 = "Bi-weekly", BG8 + 14)</f>
        <v>45919</v>
      </c>
      <c r="BI8" s="205" cm="1">
        <f t="array" ref="BI8">_xlfn.IFS($P$4 = "Monthly", EOMONTH(BH8, 1), $P$4 = "Weekly", BH8 + 7, $P$4 = "Bi-weekly", BH8 + 14)</f>
        <v>45926</v>
      </c>
      <c r="BJ8" s="205" cm="1">
        <f t="array" ref="BJ8">_xlfn.IFS($P$4 = "Monthly", EOMONTH(BI8, 1), $P$4 = "Weekly", BI8 + 7, $P$4 = "Bi-weekly", BI8 + 14)</f>
        <v>45933</v>
      </c>
      <c r="BK8" s="205" cm="1">
        <f t="array" ref="BK8">_xlfn.IFS($P$4 = "Monthly", EOMONTH(BJ8, 1), $P$4 = "Weekly", BJ8 + 7, $P$4 = "Bi-weekly", BJ8 + 14)</f>
        <v>45940</v>
      </c>
      <c r="BL8" s="205" cm="1">
        <f t="array" ref="BL8">_xlfn.IFS($P$4 = "Monthly", EOMONTH(BK8, 1), $P$4 = "Weekly", BK8 + 7, $P$4 = "Bi-weekly", BK8 + 14)</f>
        <v>45947</v>
      </c>
      <c r="BM8" s="206" cm="1">
        <f t="array" ref="BM8">_xlfn.IFS($P$4 = "Monthly", EOMONTH(BL8, 1), $P$4 = "Weekly", BL8 + 7, $P$4 = "Bi-weekly", BL8 + 14)</f>
        <v>45954</v>
      </c>
      <c r="BN8" s="11"/>
    </row>
    <row r="9" spans="1:66" ht="30" customHeight="1">
      <c r="A9" s="207"/>
      <c r="B9" s="208"/>
      <c r="C9" s="209"/>
      <c r="D9" s="210" t="s">
        <v>33</v>
      </c>
      <c r="E9" s="211"/>
      <c r="F9" s="211"/>
      <c r="G9" s="211"/>
      <c r="H9" s="211"/>
      <c r="I9" s="212"/>
      <c r="J9" s="213"/>
      <c r="K9" s="214"/>
      <c r="L9" s="215"/>
      <c r="M9" s="214"/>
      <c r="N9" s="22"/>
      <c r="O9" s="400">
        <f t="shared" ref="O9:O15" si="1">ROUNDUP(P9/30,0)</f>
        <v>1</v>
      </c>
      <c r="P9" s="400">
        <f>IF(Q9=0,"",R9-Q9)</f>
        <v>26</v>
      </c>
      <c r="Q9" s="401">
        <f>MIN(Q10)</f>
        <v>45737</v>
      </c>
      <c r="R9" s="401">
        <f>MAX(R10,R16,R25,R34,R41)</f>
        <v>45763</v>
      </c>
      <c r="S9" s="33"/>
      <c r="T9" s="400">
        <f t="shared" ref="T9:T15" si="2">ROUNDUP(U9/30,0)</f>
        <v>1</v>
      </c>
      <c r="U9" s="400">
        <f>IF(V9=0,"",W9-V9)</f>
        <v>5</v>
      </c>
      <c r="V9" s="401">
        <f>MIN(V10)</f>
        <v>45735</v>
      </c>
      <c r="W9" s="401">
        <f>MAX(W10)</f>
        <v>45740</v>
      </c>
      <c r="X9" s="24"/>
      <c r="Y9" s="217">
        <f>AVERAGE(Y10,Y16,Y25,Y34,Y41)</f>
        <v>1</v>
      </c>
      <c r="Z9" s="213"/>
      <c r="AA9" s="213"/>
      <c r="AB9" s="218"/>
      <c r="AC9" s="218"/>
      <c r="AD9" s="28"/>
      <c r="AE9" s="219" t="str">
        <f t="shared" ref="AE9:BM9" si="3">IFERROR(IF(AND($Q9&gt;=(EOMONTH(AE$8,-1)+1),$R9&lt;AF$8,$I9="M"),"u",""),"")</f>
        <v/>
      </c>
      <c r="AF9" s="29" t="str">
        <f t="shared" si="3"/>
        <v/>
      </c>
      <c r="AG9" s="29" t="str">
        <f t="shared" si="3"/>
        <v/>
      </c>
      <c r="AH9" s="29" t="str">
        <f t="shared" si="3"/>
        <v/>
      </c>
      <c r="AI9" s="29" t="str">
        <f t="shared" si="3"/>
        <v/>
      </c>
      <c r="AJ9" s="29" t="str">
        <f t="shared" si="3"/>
        <v/>
      </c>
      <c r="AK9" s="29" t="str">
        <f t="shared" si="3"/>
        <v/>
      </c>
      <c r="AL9" s="29" t="str">
        <f t="shared" si="3"/>
        <v/>
      </c>
      <c r="AM9" s="29" t="str">
        <f t="shared" si="3"/>
        <v/>
      </c>
      <c r="AN9" s="29" t="str">
        <f t="shared" si="3"/>
        <v/>
      </c>
      <c r="AO9" s="29" t="str">
        <f t="shared" si="3"/>
        <v/>
      </c>
      <c r="AP9" s="29" t="str">
        <f t="shared" si="3"/>
        <v/>
      </c>
      <c r="AQ9" s="29" t="str">
        <f t="shared" si="3"/>
        <v/>
      </c>
      <c r="AR9" s="29" t="str">
        <f t="shared" si="3"/>
        <v/>
      </c>
      <c r="AS9" s="29" t="str">
        <f t="shared" si="3"/>
        <v/>
      </c>
      <c r="AT9" s="29" t="str">
        <f t="shared" si="3"/>
        <v/>
      </c>
      <c r="AU9" s="29" t="str">
        <f t="shared" si="3"/>
        <v/>
      </c>
      <c r="AV9" s="29" t="str">
        <f t="shared" si="3"/>
        <v/>
      </c>
      <c r="AW9" s="29" t="str">
        <f t="shared" si="3"/>
        <v/>
      </c>
      <c r="AX9" s="29" t="str">
        <f t="shared" si="3"/>
        <v/>
      </c>
      <c r="AY9" s="29" t="str">
        <f t="shared" si="3"/>
        <v/>
      </c>
      <c r="AZ9" s="29" t="str">
        <f t="shared" si="3"/>
        <v/>
      </c>
      <c r="BA9" s="29" t="str">
        <f t="shared" si="3"/>
        <v/>
      </c>
      <c r="BB9" s="29" t="str">
        <f t="shared" si="3"/>
        <v/>
      </c>
      <c r="BC9" s="29" t="str">
        <f t="shared" si="3"/>
        <v/>
      </c>
      <c r="BD9" s="29" t="str">
        <f t="shared" si="3"/>
        <v/>
      </c>
      <c r="BE9" s="29" t="str">
        <f t="shared" si="3"/>
        <v/>
      </c>
      <c r="BF9" s="29" t="str">
        <f t="shared" si="3"/>
        <v/>
      </c>
      <c r="BG9" s="29" t="str">
        <f t="shared" si="3"/>
        <v/>
      </c>
      <c r="BH9" s="29" t="str">
        <f t="shared" si="3"/>
        <v/>
      </c>
      <c r="BI9" s="29" t="str">
        <f t="shared" si="3"/>
        <v/>
      </c>
      <c r="BJ9" s="29" t="str">
        <f t="shared" si="3"/>
        <v/>
      </c>
      <c r="BK9" s="29" t="str">
        <f t="shared" si="3"/>
        <v/>
      </c>
      <c r="BL9" s="29" t="str">
        <f t="shared" si="3"/>
        <v/>
      </c>
      <c r="BM9" s="30" t="str">
        <f t="shared" si="3"/>
        <v/>
      </c>
      <c r="BN9" s="11" t="s">
        <v>0</v>
      </c>
    </row>
    <row r="10" spans="1:66" ht="30" customHeight="1">
      <c r="A10" s="220" t="s">
        <v>34</v>
      </c>
      <c r="B10" s="221"/>
      <c r="C10" s="222"/>
      <c r="D10" s="223"/>
      <c r="E10" s="223" t="s">
        <v>35</v>
      </c>
      <c r="F10" s="31"/>
      <c r="G10" s="223"/>
      <c r="H10" s="223"/>
      <c r="I10" s="224"/>
      <c r="J10" s="223" t="s">
        <v>36</v>
      </c>
      <c r="K10" s="32" t="s">
        <v>37</v>
      </c>
      <c r="L10" s="54"/>
      <c r="M10" s="225"/>
      <c r="N10" s="22"/>
      <c r="O10" s="32">
        <f t="shared" si="1"/>
        <v>1</v>
      </c>
      <c r="P10" s="32">
        <f t="shared" ref="P10:P45" si="4">NETWORKDAYS(Q10,R10)</f>
        <v>1</v>
      </c>
      <c r="Q10" s="226">
        <f>MIN(Q12:Q15)</f>
        <v>45737</v>
      </c>
      <c r="R10" s="226">
        <f>MAX(R12:R15)</f>
        <v>45737</v>
      </c>
      <c r="S10" s="22"/>
      <c r="T10" s="32">
        <f t="shared" si="2"/>
        <v>1</v>
      </c>
      <c r="U10" s="32">
        <f>NETWORKDAYS(V10,W10)</f>
        <v>4</v>
      </c>
      <c r="V10" s="226">
        <f>MIN(V12:V15)</f>
        <v>45735</v>
      </c>
      <c r="W10" s="226">
        <f>MAX(W12:W15)</f>
        <v>45740</v>
      </c>
      <c r="X10" s="24"/>
      <c r="Y10" s="239">
        <f>AVERAGE(Y11:Y15)</f>
        <v>1</v>
      </c>
      <c r="Z10" s="227" t="s">
        <v>38</v>
      </c>
      <c r="AA10" s="227"/>
      <c r="AB10" s="228"/>
      <c r="AC10" s="228"/>
      <c r="AD10" s="3"/>
      <c r="AE10" s="229" t="str">
        <f t="shared" ref="AE10:BM10" si="5">IFERROR(IF(AND($Q10&gt;=(EOMONTH(AE$8,-1)+1),$R10&lt;AF$8,$I10="M"),"u",""),"")</f>
        <v/>
      </c>
      <c r="AF10" s="33" t="str">
        <f t="shared" si="5"/>
        <v/>
      </c>
      <c r="AG10" s="33" t="str">
        <f t="shared" si="5"/>
        <v/>
      </c>
      <c r="AH10" s="33" t="str">
        <f t="shared" si="5"/>
        <v/>
      </c>
      <c r="AI10" s="33" t="str">
        <f t="shared" si="5"/>
        <v/>
      </c>
      <c r="AJ10" s="33" t="str">
        <f t="shared" si="5"/>
        <v/>
      </c>
      <c r="AK10" s="33" t="str">
        <f t="shared" si="5"/>
        <v/>
      </c>
      <c r="AL10" s="33" t="str">
        <f t="shared" si="5"/>
        <v/>
      </c>
      <c r="AM10" s="33" t="str">
        <f t="shared" si="5"/>
        <v/>
      </c>
      <c r="AN10" s="33" t="str">
        <f t="shared" si="5"/>
        <v/>
      </c>
      <c r="AO10" s="33" t="str">
        <f t="shared" si="5"/>
        <v/>
      </c>
      <c r="AP10" s="33" t="str">
        <f t="shared" si="5"/>
        <v/>
      </c>
      <c r="AQ10" s="33" t="str">
        <f t="shared" si="5"/>
        <v/>
      </c>
      <c r="AR10" s="33" t="str">
        <f t="shared" si="5"/>
        <v/>
      </c>
      <c r="AS10" s="33" t="str">
        <f t="shared" si="5"/>
        <v/>
      </c>
      <c r="AT10" s="33" t="str">
        <f t="shared" si="5"/>
        <v/>
      </c>
      <c r="AU10" s="33" t="str">
        <f t="shared" si="5"/>
        <v/>
      </c>
      <c r="AV10" s="33" t="str">
        <f t="shared" si="5"/>
        <v/>
      </c>
      <c r="AW10" s="33" t="str">
        <f t="shared" si="5"/>
        <v/>
      </c>
      <c r="AX10" s="33" t="str">
        <f t="shared" si="5"/>
        <v/>
      </c>
      <c r="AY10" s="33" t="str">
        <f t="shared" si="5"/>
        <v/>
      </c>
      <c r="AZ10" s="33" t="str">
        <f t="shared" si="5"/>
        <v/>
      </c>
      <c r="BA10" s="33" t="str">
        <f t="shared" si="5"/>
        <v/>
      </c>
      <c r="BB10" s="33" t="str">
        <f t="shared" si="5"/>
        <v/>
      </c>
      <c r="BC10" s="33" t="str">
        <f t="shared" si="5"/>
        <v/>
      </c>
      <c r="BD10" s="33" t="str">
        <f t="shared" si="5"/>
        <v/>
      </c>
      <c r="BE10" s="33" t="str">
        <f t="shared" si="5"/>
        <v/>
      </c>
      <c r="BF10" s="33" t="str">
        <f t="shared" si="5"/>
        <v/>
      </c>
      <c r="BG10" s="33" t="str">
        <f t="shared" si="5"/>
        <v/>
      </c>
      <c r="BH10" s="33" t="str">
        <f t="shared" si="5"/>
        <v/>
      </c>
      <c r="BI10" s="33" t="str">
        <f t="shared" si="5"/>
        <v/>
      </c>
      <c r="BJ10" s="33" t="str">
        <f t="shared" si="5"/>
        <v/>
      </c>
      <c r="BK10" s="33" t="str">
        <f t="shared" si="5"/>
        <v/>
      </c>
      <c r="BL10" s="33" t="str">
        <f t="shared" si="5"/>
        <v/>
      </c>
      <c r="BM10" s="34" t="str">
        <f t="shared" si="5"/>
        <v/>
      </c>
      <c r="BN10" s="11" t="s">
        <v>0</v>
      </c>
    </row>
    <row r="11" spans="1:66" ht="30" customHeight="1" outlineLevel="1">
      <c r="A11" s="230"/>
      <c r="B11" s="231" t="s">
        <v>39</v>
      </c>
      <c r="C11" s="232"/>
      <c r="D11" s="233"/>
      <c r="E11" s="234"/>
      <c r="F11" s="234" t="s">
        <v>40</v>
      </c>
      <c r="G11" s="234"/>
      <c r="H11" s="234"/>
      <c r="I11" s="235" t="s">
        <v>41</v>
      </c>
      <c r="J11" s="35" t="s">
        <v>42</v>
      </c>
      <c r="K11" s="236"/>
      <c r="L11" s="237"/>
      <c r="M11" s="236"/>
      <c r="N11" s="22"/>
      <c r="O11" s="32">
        <f t="shared" si="1"/>
        <v>1</v>
      </c>
      <c r="P11" s="32">
        <f t="shared" si="4"/>
        <v>1</v>
      </c>
      <c r="Q11" s="238">
        <f>MIN(Q12:Q15)</f>
        <v>45737</v>
      </c>
      <c r="R11" s="238">
        <f>MAX(R12:R15)</f>
        <v>45737</v>
      </c>
      <c r="S11" s="22"/>
      <c r="T11" s="32">
        <f t="shared" si="2"/>
        <v>1</v>
      </c>
      <c r="U11" s="32">
        <f t="shared" ref="U11:U20" si="6">NETWORKDAYS(V11,W11)</f>
        <v>4</v>
      </c>
      <c r="V11" s="238">
        <f>MIN(V12:V14)</f>
        <v>45735</v>
      </c>
      <c r="W11" s="238">
        <f>MAX(W12:W15)</f>
        <v>45740</v>
      </c>
      <c r="X11" s="24"/>
      <c r="Y11" s="239">
        <f>AVERAGE(Y12:Y15)</f>
        <v>1</v>
      </c>
      <c r="Z11" s="240" t="s">
        <v>38</v>
      </c>
      <c r="AA11" s="241"/>
      <c r="AB11" s="242"/>
      <c r="AC11" s="242"/>
      <c r="AD11" s="28"/>
      <c r="AE11" s="219" t="str">
        <f t="shared" ref="AE11:BM11" si="7">IFERROR(IF(AND($Q11&gt;=(EOMONTH(AE$8,-1)+1),$R11&lt;AF$8,$I11="M"),"u",""),"")</f>
        <v/>
      </c>
      <c r="AF11" s="29" t="str">
        <f t="shared" si="7"/>
        <v/>
      </c>
      <c r="AG11" s="29" t="str">
        <f t="shared" si="7"/>
        <v/>
      </c>
      <c r="AH11" s="29" t="str">
        <f t="shared" si="7"/>
        <v/>
      </c>
      <c r="AI11" s="29" t="str">
        <f t="shared" si="7"/>
        <v/>
      </c>
      <c r="AJ11" s="29" t="str">
        <f t="shared" si="7"/>
        <v/>
      </c>
      <c r="AK11" s="29" t="str">
        <f t="shared" si="7"/>
        <v/>
      </c>
      <c r="AL11" s="29" t="str">
        <f t="shared" si="7"/>
        <v/>
      </c>
      <c r="AM11" s="29" t="str">
        <f t="shared" si="7"/>
        <v/>
      </c>
      <c r="AN11" s="29" t="str">
        <f t="shared" si="7"/>
        <v/>
      </c>
      <c r="AO11" s="29" t="str">
        <f t="shared" si="7"/>
        <v/>
      </c>
      <c r="AP11" s="29" t="str">
        <f t="shared" si="7"/>
        <v/>
      </c>
      <c r="AQ11" s="29" t="str">
        <f t="shared" si="7"/>
        <v/>
      </c>
      <c r="AR11" s="29" t="str">
        <f t="shared" si="7"/>
        <v/>
      </c>
      <c r="AS11" s="29" t="str">
        <f t="shared" si="7"/>
        <v/>
      </c>
      <c r="AT11" s="29" t="str">
        <f t="shared" si="7"/>
        <v/>
      </c>
      <c r="AU11" s="29" t="str">
        <f t="shared" si="7"/>
        <v/>
      </c>
      <c r="AV11" s="29" t="str">
        <f t="shared" si="7"/>
        <v/>
      </c>
      <c r="AW11" s="29" t="str">
        <f t="shared" si="7"/>
        <v/>
      </c>
      <c r="AX11" s="29" t="str">
        <f t="shared" si="7"/>
        <v/>
      </c>
      <c r="AY11" s="29" t="str">
        <f t="shared" si="7"/>
        <v/>
      </c>
      <c r="AZ11" s="29" t="str">
        <f t="shared" si="7"/>
        <v/>
      </c>
      <c r="BA11" s="29" t="str">
        <f t="shared" si="7"/>
        <v/>
      </c>
      <c r="BB11" s="29" t="str">
        <f t="shared" si="7"/>
        <v/>
      </c>
      <c r="BC11" s="29" t="str">
        <f t="shared" si="7"/>
        <v/>
      </c>
      <c r="BD11" s="29" t="str">
        <f t="shared" si="7"/>
        <v/>
      </c>
      <c r="BE11" s="29" t="str">
        <f t="shared" si="7"/>
        <v/>
      </c>
      <c r="BF11" s="29" t="str">
        <f t="shared" si="7"/>
        <v/>
      </c>
      <c r="BG11" s="29" t="str">
        <f t="shared" si="7"/>
        <v/>
      </c>
      <c r="BH11" s="29" t="str">
        <f t="shared" si="7"/>
        <v/>
      </c>
      <c r="BI11" s="29" t="str">
        <f t="shared" si="7"/>
        <v/>
      </c>
      <c r="BJ11" s="29" t="str">
        <f t="shared" si="7"/>
        <v/>
      </c>
      <c r="BK11" s="29" t="str">
        <f t="shared" si="7"/>
        <v/>
      </c>
      <c r="BL11" s="29" t="str">
        <f t="shared" si="7"/>
        <v/>
      </c>
      <c r="BM11" s="30" t="str">
        <f t="shared" si="7"/>
        <v/>
      </c>
      <c r="BN11" s="11" t="s">
        <v>0</v>
      </c>
    </row>
    <row r="12" spans="1:66" ht="30" customHeight="1" outlineLevel="2">
      <c r="A12" s="243"/>
      <c r="B12" s="36"/>
      <c r="C12" s="37" t="s">
        <v>43</v>
      </c>
      <c r="D12" s="12"/>
      <c r="E12" s="35"/>
      <c r="F12" s="35"/>
      <c r="G12" s="35" t="s">
        <v>44</v>
      </c>
      <c r="H12" s="35"/>
      <c r="I12" s="38" t="s">
        <v>45</v>
      </c>
      <c r="J12" s="35" t="s">
        <v>46</v>
      </c>
      <c r="K12" s="32" t="s">
        <v>47</v>
      </c>
      <c r="L12" s="39"/>
      <c r="M12" s="32"/>
      <c r="N12" s="22"/>
      <c r="O12" s="32">
        <f t="shared" si="1"/>
        <v>1</v>
      </c>
      <c r="P12" s="32">
        <f t="shared" si="4"/>
        <v>1</v>
      </c>
      <c r="Q12" s="31">
        <v>45737</v>
      </c>
      <c r="R12" s="31">
        <v>45737</v>
      </c>
      <c r="S12" s="22"/>
      <c r="T12" s="32">
        <f t="shared" si="2"/>
        <v>1</v>
      </c>
      <c r="U12" s="32">
        <f t="shared" si="6"/>
        <v>1</v>
      </c>
      <c r="V12" s="31">
        <v>45735</v>
      </c>
      <c r="W12" s="31">
        <v>45735</v>
      </c>
      <c r="X12" s="24"/>
      <c r="Y12" s="239">
        <v>1</v>
      </c>
      <c r="Z12" s="40" t="s">
        <v>48</v>
      </c>
      <c r="AA12" s="40"/>
      <c r="AB12" s="41"/>
      <c r="AC12" s="41"/>
      <c r="AD12" s="28"/>
      <c r="AE12" s="219" t="str">
        <f t="shared" ref="AE12:BM12" si="8">IFERROR(IF(AND($Q12&gt;=(EOMONTH(AE$8,-1)+1),$R12&lt;AF$8,$I12="M"),"u",""),"")</f>
        <v/>
      </c>
      <c r="AF12" s="29" t="str">
        <f t="shared" si="8"/>
        <v/>
      </c>
      <c r="AG12" s="29" t="str">
        <f t="shared" si="8"/>
        <v/>
      </c>
      <c r="AH12" s="29" t="str">
        <f t="shared" si="8"/>
        <v/>
      </c>
      <c r="AI12" s="29" t="str">
        <f t="shared" si="8"/>
        <v/>
      </c>
      <c r="AJ12" s="29" t="str">
        <f t="shared" si="8"/>
        <v/>
      </c>
      <c r="AK12" s="29" t="str">
        <f t="shared" si="8"/>
        <v/>
      </c>
      <c r="AL12" s="29" t="str">
        <f t="shared" si="8"/>
        <v/>
      </c>
      <c r="AM12" s="29" t="str">
        <f t="shared" si="8"/>
        <v/>
      </c>
      <c r="AN12" s="29" t="str">
        <f t="shared" si="8"/>
        <v/>
      </c>
      <c r="AO12" s="29" t="str">
        <f t="shared" si="8"/>
        <v/>
      </c>
      <c r="AP12" s="29" t="str">
        <f t="shared" si="8"/>
        <v/>
      </c>
      <c r="AQ12" s="29" t="str">
        <f t="shared" si="8"/>
        <v/>
      </c>
      <c r="AR12" s="29" t="str">
        <f t="shared" si="8"/>
        <v/>
      </c>
      <c r="AS12" s="29" t="str">
        <f t="shared" si="8"/>
        <v/>
      </c>
      <c r="AT12" s="29" t="str">
        <f t="shared" si="8"/>
        <v/>
      </c>
      <c r="AU12" s="29" t="str">
        <f t="shared" si="8"/>
        <v/>
      </c>
      <c r="AV12" s="29" t="str">
        <f t="shared" si="8"/>
        <v/>
      </c>
      <c r="AW12" s="29" t="str">
        <f t="shared" si="8"/>
        <v/>
      </c>
      <c r="AX12" s="29" t="str">
        <f t="shared" si="8"/>
        <v/>
      </c>
      <c r="AY12" s="29" t="str">
        <f t="shared" si="8"/>
        <v/>
      </c>
      <c r="AZ12" s="29" t="str">
        <f t="shared" si="8"/>
        <v/>
      </c>
      <c r="BA12" s="29" t="str">
        <f t="shared" si="8"/>
        <v/>
      </c>
      <c r="BB12" s="29" t="str">
        <f t="shared" si="8"/>
        <v/>
      </c>
      <c r="BC12" s="29" t="str">
        <f t="shared" si="8"/>
        <v/>
      </c>
      <c r="BD12" s="29" t="str">
        <f t="shared" si="8"/>
        <v/>
      </c>
      <c r="BE12" s="29" t="str">
        <f t="shared" si="8"/>
        <v/>
      </c>
      <c r="BF12" s="29" t="str">
        <f t="shared" si="8"/>
        <v/>
      </c>
      <c r="BG12" s="29" t="str">
        <f t="shared" si="8"/>
        <v/>
      </c>
      <c r="BH12" s="29" t="str">
        <f t="shared" si="8"/>
        <v/>
      </c>
      <c r="BI12" s="29" t="str">
        <f t="shared" si="8"/>
        <v/>
      </c>
      <c r="BJ12" s="29" t="str">
        <f t="shared" si="8"/>
        <v/>
      </c>
      <c r="BK12" s="29" t="str">
        <f t="shared" si="8"/>
        <v/>
      </c>
      <c r="BL12" s="29" t="str">
        <f t="shared" si="8"/>
        <v/>
      </c>
      <c r="BM12" s="30" t="str">
        <f t="shared" si="8"/>
        <v/>
      </c>
      <c r="BN12" s="11" t="s">
        <v>0</v>
      </c>
    </row>
    <row r="13" spans="1:66" ht="30" customHeight="1" outlineLevel="2">
      <c r="A13" s="243"/>
      <c r="B13" s="36"/>
      <c r="C13" s="37" t="s">
        <v>43</v>
      </c>
      <c r="D13" s="12"/>
      <c r="E13" s="35"/>
      <c r="F13" s="35"/>
      <c r="G13" s="35" t="s">
        <v>49</v>
      </c>
      <c r="H13" s="35"/>
      <c r="I13" s="38" t="s">
        <v>45</v>
      </c>
      <c r="J13" s="40" t="s">
        <v>50</v>
      </c>
      <c r="K13" s="32"/>
      <c r="L13" s="39"/>
      <c r="M13" s="32"/>
      <c r="N13" s="22"/>
      <c r="O13" s="32">
        <f t="shared" si="1"/>
        <v>1</v>
      </c>
      <c r="P13" s="32">
        <f t="shared" si="4"/>
        <v>1</v>
      </c>
      <c r="Q13" s="31">
        <v>45737</v>
      </c>
      <c r="R13" s="31">
        <v>45737</v>
      </c>
      <c r="S13" s="22"/>
      <c r="T13" s="32">
        <f t="shared" si="2"/>
        <v>1</v>
      </c>
      <c r="U13" s="32">
        <f t="shared" si="6"/>
        <v>1</v>
      </c>
      <c r="V13" s="31">
        <v>45735</v>
      </c>
      <c r="W13" s="31">
        <v>45735</v>
      </c>
      <c r="X13" s="24"/>
      <c r="Y13" s="239">
        <v>1</v>
      </c>
      <c r="Z13" s="40" t="s">
        <v>51</v>
      </c>
      <c r="AA13" s="42"/>
      <c r="AB13" s="41"/>
      <c r="AC13" s="41"/>
      <c r="AD13" s="28"/>
      <c r="AE13" s="219" t="str">
        <f t="shared" ref="AE13:BM13" si="9">IFERROR(IF(AND($Q13&gt;=(EOMONTH(AE$8,-1)+1),$R13&lt;AF$8,$I13="M"),"u",""),"")</f>
        <v/>
      </c>
      <c r="AF13" s="29" t="str">
        <f t="shared" si="9"/>
        <v/>
      </c>
      <c r="AG13" s="29" t="str">
        <f t="shared" si="9"/>
        <v/>
      </c>
      <c r="AH13" s="29" t="str">
        <f t="shared" si="9"/>
        <v/>
      </c>
      <c r="AI13" s="29" t="str">
        <f t="shared" si="9"/>
        <v/>
      </c>
      <c r="AJ13" s="29" t="str">
        <f t="shared" si="9"/>
        <v/>
      </c>
      <c r="AK13" s="29" t="str">
        <f t="shared" si="9"/>
        <v/>
      </c>
      <c r="AL13" s="29" t="str">
        <f t="shared" si="9"/>
        <v/>
      </c>
      <c r="AM13" s="29" t="str">
        <f t="shared" si="9"/>
        <v/>
      </c>
      <c r="AN13" s="29" t="str">
        <f t="shared" si="9"/>
        <v/>
      </c>
      <c r="AO13" s="29" t="str">
        <f t="shared" si="9"/>
        <v/>
      </c>
      <c r="AP13" s="29" t="str">
        <f t="shared" si="9"/>
        <v/>
      </c>
      <c r="AQ13" s="29" t="str">
        <f t="shared" si="9"/>
        <v/>
      </c>
      <c r="AR13" s="29" t="str">
        <f t="shared" si="9"/>
        <v/>
      </c>
      <c r="AS13" s="29" t="str">
        <f t="shared" si="9"/>
        <v/>
      </c>
      <c r="AT13" s="29" t="str">
        <f t="shared" si="9"/>
        <v/>
      </c>
      <c r="AU13" s="29" t="str">
        <f t="shared" si="9"/>
        <v/>
      </c>
      <c r="AV13" s="29" t="str">
        <f t="shared" si="9"/>
        <v/>
      </c>
      <c r="AW13" s="29" t="str">
        <f t="shared" si="9"/>
        <v/>
      </c>
      <c r="AX13" s="29" t="str">
        <f t="shared" si="9"/>
        <v/>
      </c>
      <c r="AY13" s="29" t="str">
        <f t="shared" si="9"/>
        <v/>
      </c>
      <c r="AZ13" s="29" t="str">
        <f t="shared" si="9"/>
        <v/>
      </c>
      <c r="BA13" s="29" t="str">
        <f t="shared" si="9"/>
        <v/>
      </c>
      <c r="BB13" s="29" t="str">
        <f t="shared" si="9"/>
        <v/>
      </c>
      <c r="BC13" s="29" t="str">
        <f t="shared" si="9"/>
        <v/>
      </c>
      <c r="BD13" s="29" t="str">
        <f t="shared" si="9"/>
        <v/>
      </c>
      <c r="BE13" s="29" t="str">
        <f t="shared" si="9"/>
        <v/>
      </c>
      <c r="BF13" s="29" t="str">
        <f t="shared" si="9"/>
        <v/>
      </c>
      <c r="BG13" s="29" t="str">
        <f t="shared" si="9"/>
        <v/>
      </c>
      <c r="BH13" s="29" t="str">
        <f t="shared" si="9"/>
        <v/>
      </c>
      <c r="BI13" s="29" t="str">
        <f t="shared" si="9"/>
        <v/>
      </c>
      <c r="BJ13" s="29" t="str">
        <f t="shared" si="9"/>
        <v/>
      </c>
      <c r="BK13" s="29" t="str">
        <f t="shared" si="9"/>
        <v/>
      </c>
      <c r="BL13" s="29" t="str">
        <f t="shared" si="9"/>
        <v/>
      </c>
      <c r="BM13" s="30" t="str">
        <f t="shared" si="9"/>
        <v/>
      </c>
      <c r="BN13" s="11" t="s">
        <v>0</v>
      </c>
    </row>
    <row r="14" spans="1:66" ht="30" customHeight="1" outlineLevel="2">
      <c r="A14" s="243"/>
      <c r="B14" s="36"/>
      <c r="C14" s="37" t="s">
        <v>43</v>
      </c>
      <c r="D14" s="12"/>
      <c r="E14" s="35"/>
      <c r="F14" s="35"/>
      <c r="G14" s="35" t="s">
        <v>52</v>
      </c>
      <c r="H14" s="35"/>
      <c r="I14" s="38" t="s">
        <v>45</v>
      </c>
      <c r="J14" s="35" t="s">
        <v>53</v>
      </c>
      <c r="K14" s="32" t="s">
        <v>54</v>
      </c>
      <c r="L14" s="39"/>
      <c r="M14" s="32"/>
      <c r="N14" s="22"/>
      <c r="O14" s="32">
        <f t="shared" si="1"/>
        <v>1</v>
      </c>
      <c r="P14" s="32">
        <f t="shared" si="4"/>
        <v>1</v>
      </c>
      <c r="Q14" s="31">
        <v>45737</v>
      </c>
      <c r="R14" s="31">
        <v>45737</v>
      </c>
      <c r="S14" s="22"/>
      <c r="T14" s="32">
        <f t="shared" si="2"/>
        <v>1</v>
      </c>
      <c r="U14" s="32">
        <f t="shared" si="6"/>
        <v>1</v>
      </c>
      <c r="V14" s="31">
        <v>45737</v>
      </c>
      <c r="W14" s="31">
        <v>45737</v>
      </c>
      <c r="X14" s="24"/>
      <c r="Y14" s="239">
        <v>1</v>
      </c>
      <c r="Z14" s="40" t="s">
        <v>55</v>
      </c>
      <c r="AA14" s="40"/>
      <c r="AB14" s="41"/>
      <c r="AC14" s="41"/>
      <c r="AD14" s="28"/>
      <c r="AE14" s="219" t="str">
        <f t="shared" ref="AE14:BM14" si="10">IFERROR(IF(AND($Q14&gt;=(EOMONTH(AE$8,-1)+1),$R14&lt;AF$8,$I14="M"),"u",""),"")</f>
        <v/>
      </c>
      <c r="AF14" s="29" t="str">
        <f t="shared" si="10"/>
        <v/>
      </c>
      <c r="AG14" s="29" t="str">
        <f t="shared" si="10"/>
        <v/>
      </c>
      <c r="AH14" s="29" t="str">
        <f t="shared" si="10"/>
        <v/>
      </c>
      <c r="AI14" s="29" t="str">
        <f t="shared" si="10"/>
        <v/>
      </c>
      <c r="AJ14" s="29" t="str">
        <f t="shared" si="10"/>
        <v/>
      </c>
      <c r="AK14" s="29" t="str">
        <f t="shared" si="10"/>
        <v/>
      </c>
      <c r="AL14" s="29" t="str">
        <f t="shared" si="10"/>
        <v/>
      </c>
      <c r="AM14" s="29" t="str">
        <f t="shared" si="10"/>
        <v/>
      </c>
      <c r="AN14" s="29" t="str">
        <f t="shared" si="10"/>
        <v/>
      </c>
      <c r="AO14" s="29" t="str">
        <f t="shared" si="10"/>
        <v/>
      </c>
      <c r="AP14" s="29" t="str">
        <f t="shared" si="10"/>
        <v/>
      </c>
      <c r="AQ14" s="29" t="str">
        <f t="shared" si="10"/>
        <v/>
      </c>
      <c r="AR14" s="29" t="str">
        <f t="shared" si="10"/>
        <v/>
      </c>
      <c r="AS14" s="29" t="str">
        <f t="shared" si="10"/>
        <v/>
      </c>
      <c r="AT14" s="29" t="str">
        <f t="shared" si="10"/>
        <v/>
      </c>
      <c r="AU14" s="29" t="str">
        <f t="shared" si="10"/>
        <v/>
      </c>
      <c r="AV14" s="29" t="str">
        <f t="shared" si="10"/>
        <v/>
      </c>
      <c r="AW14" s="29" t="str">
        <f t="shared" si="10"/>
        <v/>
      </c>
      <c r="AX14" s="29" t="str">
        <f t="shared" si="10"/>
        <v/>
      </c>
      <c r="AY14" s="29" t="str">
        <f t="shared" si="10"/>
        <v/>
      </c>
      <c r="AZ14" s="29" t="str">
        <f t="shared" si="10"/>
        <v/>
      </c>
      <c r="BA14" s="29" t="str">
        <f t="shared" si="10"/>
        <v/>
      </c>
      <c r="BB14" s="29" t="str">
        <f t="shared" si="10"/>
        <v/>
      </c>
      <c r="BC14" s="29" t="str">
        <f t="shared" si="10"/>
        <v/>
      </c>
      <c r="BD14" s="29" t="str">
        <f t="shared" si="10"/>
        <v/>
      </c>
      <c r="BE14" s="29" t="str">
        <f t="shared" si="10"/>
        <v/>
      </c>
      <c r="BF14" s="29" t="str">
        <f t="shared" si="10"/>
        <v/>
      </c>
      <c r="BG14" s="29" t="str">
        <f t="shared" si="10"/>
        <v/>
      </c>
      <c r="BH14" s="29" t="str">
        <f t="shared" si="10"/>
        <v/>
      </c>
      <c r="BI14" s="29" t="str">
        <f t="shared" si="10"/>
        <v/>
      </c>
      <c r="BJ14" s="29" t="str">
        <f t="shared" si="10"/>
        <v/>
      </c>
      <c r="BK14" s="29" t="str">
        <f t="shared" si="10"/>
        <v/>
      </c>
      <c r="BL14" s="29" t="str">
        <f t="shared" si="10"/>
        <v/>
      </c>
      <c r="BM14" s="30" t="str">
        <f t="shared" si="10"/>
        <v/>
      </c>
      <c r="BN14" s="11" t="s">
        <v>0</v>
      </c>
    </row>
    <row r="15" spans="1:66" ht="30" customHeight="1" outlineLevel="2">
      <c r="A15" s="243"/>
      <c r="B15" s="36"/>
      <c r="C15" s="37" t="s">
        <v>43</v>
      </c>
      <c r="D15" s="12"/>
      <c r="E15" s="35"/>
      <c r="F15" s="35"/>
      <c r="G15" s="35" t="s">
        <v>56</v>
      </c>
      <c r="H15" s="35"/>
      <c r="I15" s="38" t="s">
        <v>45</v>
      </c>
      <c r="J15" s="35" t="s">
        <v>57</v>
      </c>
      <c r="K15" s="32"/>
      <c r="L15" s="39"/>
      <c r="M15" s="32"/>
      <c r="N15" s="22"/>
      <c r="O15" s="32">
        <f t="shared" si="1"/>
        <v>1</v>
      </c>
      <c r="P15" s="32">
        <f t="shared" si="4"/>
        <v>1</v>
      </c>
      <c r="Q15" s="31">
        <v>45737</v>
      </c>
      <c r="R15" s="31">
        <v>45737</v>
      </c>
      <c r="S15" s="22"/>
      <c r="T15" s="32">
        <f t="shared" si="2"/>
        <v>1</v>
      </c>
      <c r="U15" s="32">
        <f t="shared" si="6"/>
        <v>2</v>
      </c>
      <c r="V15" s="31">
        <v>45737</v>
      </c>
      <c r="W15" s="31">
        <v>45740</v>
      </c>
      <c r="X15" s="24"/>
      <c r="Y15" s="239">
        <v>1</v>
      </c>
      <c r="Z15" s="40" t="s">
        <v>58</v>
      </c>
      <c r="AA15" s="40"/>
      <c r="AB15" s="41"/>
      <c r="AC15" s="41"/>
      <c r="AD15" s="28"/>
      <c r="AE15" s="21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30"/>
      <c r="BN15" s="11"/>
    </row>
    <row r="16" spans="1:66" ht="30" customHeight="1">
      <c r="A16" s="220" t="s">
        <v>34</v>
      </c>
      <c r="B16" s="221"/>
      <c r="C16" s="222"/>
      <c r="D16" s="223"/>
      <c r="E16" s="223" t="s">
        <v>59</v>
      </c>
      <c r="F16" s="223"/>
      <c r="G16" s="223"/>
      <c r="H16" s="223"/>
      <c r="I16" s="224" t="s">
        <v>41</v>
      </c>
      <c r="J16" s="35" t="s">
        <v>60</v>
      </c>
      <c r="K16" s="244" t="s">
        <v>61</v>
      </c>
      <c r="L16" s="54"/>
      <c r="M16" s="32"/>
      <c r="N16" s="22"/>
      <c r="O16" s="32">
        <f>ROUNDUP(P16/30,0)</f>
        <v>1</v>
      </c>
      <c r="P16" s="43">
        <f t="shared" si="4"/>
        <v>6</v>
      </c>
      <c r="Q16" s="44">
        <f>MIN(Q18:Q24)</f>
        <v>45740</v>
      </c>
      <c r="R16" s="44">
        <f>MAX(R18:R24)</f>
        <v>45747</v>
      </c>
      <c r="S16" s="22"/>
      <c r="T16" s="32">
        <f>ROUNDUP(U16/30,0)</f>
        <v>1</v>
      </c>
      <c r="U16" s="43">
        <f t="shared" si="6"/>
        <v>6</v>
      </c>
      <c r="V16" s="44">
        <f>MIN(V18:V24)</f>
        <v>45737</v>
      </c>
      <c r="W16" s="44">
        <f>MAX(W18:W24)</f>
        <v>45744</v>
      </c>
      <c r="X16" s="24"/>
      <c r="Y16" s="239">
        <f>AVERAGE(Y17:Y24)</f>
        <v>1</v>
      </c>
      <c r="Z16" s="227"/>
      <c r="AA16" s="227"/>
      <c r="AB16" s="228"/>
      <c r="AC16" s="228"/>
      <c r="AD16" s="3"/>
      <c r="AE16" s="229" t="str">
        <f t="shared" ref="AE16:BM16" si="11">IFERROR(IF(AND($Q16&gt;=(EOMONTH(AE$8,-1)+1),$R16&lt;AF$8,$I16="M"),"u",""),"")</f>
        <v/>
      </c>
      <c r="AF16" s="33" t="str">
        <f t="shared" si="11"/>
        <v/>
      </c>
      <c r="AG16" s="33" t="str">
        <f t="shared" si="11"/>
        <v/>
      </c>
      <c r="AH16" s="33" t="str">
        <f t="shared" si="11"/>
        <v/>
      </c>
      <c r="AI16" s="33" t="str">
        <f t="shared" si="11"/>
        <v/>
      </c>
      <c r="AJ16" s="33" t="str">
        <f t="shared" si="11"/>
        <v/>
      </c>
      <c r="AK16" s="33" t="str">
        <f t="shared" si="11"/>
        <v/>
      </c>
      <c r="AL16" s="33" t="str">
        <f t="shared" si="11"/>
        <v/>
      </c>
      <c r="AM16" s="33" t="str">
        <f t="shared" si="11"/>
        <v/>
      </c>
      <c r="AN16" s="33" t="str">
        <f t="shared" si="11"/>
        <v/>
      </c>
      <c r="AO16" s="33" t="str">
        <f t="shared" si="11"/>
        <v/>
      </c>
      <c r="AP16" s="33" t="str">
        <f t="shared" si="11"/>
        <v/>
      </c>
      <c r="AQ16" s="33" t="str">
        <f t="shared" si="11"/>
        <v/>
      </c>
      <c r="AR16" s="33" t="str">
        <f t="shared" si="11"/>
        <v/>
      </c>
      <c r="AS16" s="33" t="str">
        <f t="shared" si="11"/>
        <v/>
      </c>
      <c r="AT16" s="33" t="str">
        <f t="shared" si="11"/>
        <v/>
      </c>
      <c r="AU16" s="33" t="str">
        <f t="shared" si="11"/>
        <v/>
      </c>
      <c r="AV16" s="33" t="str">
        <f t="shared" si="11"/>
        <v/>
      </c>
      <c r="AW16" s="33" t="str">
        <f t="shared" si="11"/>
        <v/>
      </c>
      <c r="AX16" s="33" t="str">
        <f t="shared" si="11"/>
        <v/>
      </c>
      <c r="AY16" s="33" t="str">
        <f t="shared" si="11"/>
        <v/>
      </c>
      <c r="AZ16" s="33" t="str">
        <f t="shared" si="11"/>
        <v/>
      </c>
      <c r="BA16" s="33" t="str">
        <f t="shared" si="11"/>
        <v/>
      </c>
      <c r="BB16" s="33" t="str">
        <f t="shared" si="11"/>
        <v/>
      </c>
      <c r="BC16" s="33" t="str">
        <f t="shared" si="11"/>
        <v/>
      </c>
      <c r="BD16" s="33" t="str">
        <f t="shared" si="11"/>
        <v/>
      </c>
      <c r="BE16" s="33" t="str">
        <f t="shared" si="11"/>
        <v/>
      </c>
      <c r="BF16" s="33" t="str">
        <f t="shared" si="11"/>
        <v/>
      </c>
      <c r="BG16" s="33" t="str">
        <f t="shared" si="11"/>
        <v/>
      </c>
      <c r="BH16" s="33" t="str">
        <f t="shared" si="11"/>
        <v/>
      </c>
      <c r="BI16" s="33" t="str">
        <f t="shared" si="11"/>
        <v/>
      </c>
      <c r="BJ16" s="33" t="str">
        <f t="shared" si="11"/>
        <v/>
      </c>
      <c r="BK16" s="33" t="str">
        <f t="shared" si="11"/>
        <v/>
      </c>
      <c r="BL16" s="33" t="str">
        <f t="shared" si="11"/>
        <v/>
      </c>
      <c r="BM16" s="34" t="str">
        <f t="shared" si="11"/>
        <v/>
      </c>
      <c r="BN16" s="11" t="s">
        <v>0</v>
      </c>
    </row>
    <row r="17" spans="1:66" ht="30" customHeight="1" outlineLevel="1">
      <c r="A17" s="230"/>
      <c r="B17" s="231" t="s">
        <v>39</v>
      </c>
      <c r="C17" s="232"/>
      <c r="D17" s="12"/>
      <c r="E17" s="234"/>
      <c r="F17" s="234" t="s">
        <v>62</v>
      </c>
      <c r="G17" s="234"/>
      <c r="H17" s="234"/>
      <c r="I17" s="235" t="s">
        <v>45</v>
      </c>
      <c r="J17" s="35" t="s">
        <v>63</v>
      </c>
      <c r="K17" s="236" t="s">
        <v>64</v>
      </c>
      <c r="L17" s="237"/>
      <c r="M17" s="32"/>
      <c r="N17" s="22"/>
      <c r="O17" s="32">
        <f t="shared" ref="O17:O117" si="12">ROUNDUP(P17/30,0)</f>
        <v>1</v>
      </c>
      <c r="P17" s="32">
        <f t="shared" si="4"/>
        <v>2</v>
      </c>
      <c r="Q17" s="31">
        <f>MIN(Q18:Q20)</f>
        <v>45740</v>
      </c>
      <c r="R17" s="31">
        <f>MAX(R18:R20)</f>
        <v>45741</v>
      </c>
      <c r="S17" s="22"/>
      <c r="T17" s="32">
        <f t="shared" ref="T17:T20" si="13">ROUNDUP(U17/30,0)</f>
        <v>1</v>
      </c>
      <c r="U17" s="32">
        <f t="shared" si="6"/>
        <v>1</v>
      </c>
      <c r="V17" s="31">
        <f>MIN(V18:V20)</f>
        <v>45737</v>
      </c>
      <c r="W17" s="31">
        <f>MAX(W18:W20)</f>
        <v>45737</v>
      </c>
      <c r="X17" s="24"/>
      <c r="Y17" s="239">
        <f>AVERAGE(Y18:Y20)</f>
        <v>1</v>
      </c>
      <c r="Z17" s="240"/>
      <c r="AA17" s="241"/>
      <c r="AB17" s="242"/>
      <c r="AC17" s="242"/>
      <c r="AD17" s="28"/>
      <c r="AE17" s="219" t="str">
        <f t="shared" ref="AE17:BM17" si="14">IFERROR(IF(AND($Q17&gt;=(EOMONTH(AE$8,-1)+1),$R17&lt;AF$8,$I17="M"),"u",""),"")</f>
        <v/>
      </c>
      <c r="AF17" s="29" t="str">
        <f t="shared" si="14"/>
        <v/>
      </c>
      <c r="AG17" s="29" t="str">
        <f t="shared" si="14"/>
        <v/>
      </c>
      <c r="AH17" s="29" t="str">
        <f t="shared" si="14"/>
        <v/>
      </c>
      <c r="AI17" s="29" t="str">
        <f t="shared" si="14"/>
        <v/>
      </c>
      <c r="AJ17" s="29" t="str">
        <f t="shared" si="14"/>
        <v/>
      </c>
      <c r="AK17" s="29" t="str">
        <f t="shared" si="14"/>
        <v/>
      </c>
      <c r="AL17" s="29" t="str">
        <f t="shared" si="14"/>
        <v/>
      </c>
      <c r="AM17" s="29" t="str">
        <f t="shared" si="14"/>
        <v/>
      </c>
      <c r="AN17" s="29" t="str">
        <f t="shared" si="14"/>
        <v/>
      </c>
      <c r="AO17" s="29" t="str">
        <f t="shared" si="14"/>
        <v/>
      </c>
      <c r="AP17" s="29" t="str">
        <f t="shared" si="14"/>
        <v/>
      </c>
      <c r="AQ17" s="29" t="str">
        <f t="shared" si="14"/>
        <v/>
      </c>
      <c r="AR17" s="29" t="str">
        <f t="shared" si="14"/>
        <v/>
      </c>
      <c r="AS17" s="29" t="str">
        <f t="shared" si="14"/>
        <v/>
      </c>
      <c r="AT17" s="29" t="str">
        <f t="shared" si="14"/>
        <v/>
      </c>
      <c r="AU17" s="29" t="str">
        <f t="shared" si="14"/>
        <v/>
      </c>
      <c r="AV17" s="29" t="str">
        <f t="shared" si="14"/>
        <v/>
      </c>
      <c r="AW17" s="29" t="str">
        <f t="shared" si="14"/>
        <v/>
      </c>
      <c r="AX17" s="29" t="str">
        <f t="shared" si="14"/>
        <v/>
      </c>
      <c r="AY17" s="29" t="str">
        <f t="shared" si="14"/>
        <v/>
      </c>
      <c r="AZ17" s="29" t="str">
        <f t="shared" si="14"/>
        <v/>
      </c>
      <c r="BA17" s="29" t="str">
        <f t="shared" si="14"/>
        <v/>
      </c>
      <c r="BB17" s="29" t="str">
        <f t="shared" si="14"/>
        <v/>
      </c>
      <c r="BC17" s="29" t="str">
        <f t="shared" si="14"/>
        <v/>
      </c>
      <c r="BD17" s="29" t="str">
        <f t="shared" si="14"/>
        <v/>
      </c>
      <c r="BE17" s="29" t="str">
        <f t="shared" si="14"/>
        <v/>
      </c>
      <c r="BF17" s="29" t="str">
        <f t="shared" si="14"/>
        <v/>
      </c>
      <c r="BG17" s="29" t="str">
        <f t="shared" si="14"/>
        <v/>
      </c>
      <c r="BH17" s="29" t="str">
        <f t="shared" si="14"/>
        <v/>
      </c>
      <c r="BI17" s="29" t="str">
        <f t="shared" si="14"/>
        <v/>
      </c>
      <c r="BJ17" s="29" t="str">
        <f t="shared" si="14"/>
        <v/>
      </c>
      <c r="BK17" s="29" t="str">
        <f t="shared" si="14"/>
        <v/>
      </c>
      <c r="BL17" s="29" t="str">
        <f t="shared" si="14"/>
        <v/>
      </c>
      <c r="BM17" s="30" t="str">
        <f t="shared" si="14"/>
        <v/>
      </c>
      <c r="BN17" s="11" t="s">
        <v>0</v>
      </c>
    </row>
    <row r="18" spans="1:66" ht="30" customHeight="1" outlineLevel="2">
      <c r="A18" s="243"/>
      <c r="B18" s="36"/>
      <c r="C18" s="37" t="s">
        <v>43</v>
      </c>
      <c r="D18" s="12"/>
      <c r="E18" s="35"/>
      <c r="F18" s="35"/>
      <c r="G18" s="35" t="s">
        <v>65</v>
      </c>
      <c r="H18" s="35"/>
      <c r="I18" s="38" t="s">
        <v>45</v>
      </c>
      <c r="J18" s="35" t="s">
        <v>66</v>
      </c>
      <c r="K18" s="32" t="s">
        <v>67</v>
      </c>
      <c r="L18" s="32" t="s">
        <v>68</v>
      </c>
      <c r="M18" s="45" t="s">
        <v>69</v>
      </c>
      <c r="N18" s="22"/>
      <c r="O18" s="32">
        <f t="shared" si="12"/>
        <v>1</v>
      </c>
      <c r="P18" s="32">
        <f t="shared" si="4"/>
        <v>2</v>
      </c>
      <c r="Q18" s="31">
        <v>45740</v>
      </c>
      <c r="R18" s="31">
        <v>45741</v>
      </c>
      <c r="S18" s="22"/>
      <c r="T18" s="32">
        <f t="shared" si="13"/>
        <v>1</v>
      </c>
      <c r="U18" s="32">
        <f t="shared" si="6"/>
        <v>1</v>
      </c>
      <c r="V18" s="31">
        <v>45737</v>
      </c>
      <c r="W18" s="31">
        <v>45737</v>
      </c>
      <c r="X18" s="24"/>
      <c r="Y18" s="239">
        <v>1</v>
      </c>
      <c r="Z18" s="240" t="s">
        <v>58</v>
      </c>
      <c r="AA18" s="240"/>
      <c r="AB18" s="242"/>
      <c r="AC18" s="242"/>
      <c r="AD18" s="28"/>
      <c r="AE18" s="219" t="str">
        <f t="shared" ref="AE18:BM18" si="15">IFERROR(IF(AND($Q18&gt;=(EOMONTH(AE$8,-1)+1),$R18&lt;AF$8,$I18="M"),"u",""),"")</f>
        <v/>
      </c>
      <c r="AF18" s="29" t="str">
        <f t="shared" si="15"/>
        <v/>
      </c>
      <c r="AG18" s="29" t="str">
        <f t="shared" si="15"/>
        <v/>
      </c>
      <c r="AH18" s="29" t="str">
        <f t="shared" si="15"/>
        <v/>
      </c>
      <c r="AI18" s="29" t="str">
        <f t="shared" si="15"/>
        <v/>
      </c>
      <c r="AJ18" s="29" t="str">
        <f t="shared" si="15"/>
        <v/>
      </c>
      <c r="AK18" s="29" t="str">
        <f t="shared" si="15"/>
        <v/>
      </c>
      <c r="AL18" s="29" t="str">
        <f t="shared" si="15"/>
        <v/>
      </c>
      <c r="AM18" s="29" t="str">
        <f t="shared" si="15"/>
        <v/>
      </c>
      <c r="AN18" s="29" t="str">
        <f t="shared" si="15"/>
        <v/>
      </c>
      <c r="AO18" s="29" t="str">
        <f t="shared" si="15"/>
        <v/>
      </c>
      <c r="AP18" s="29" t="str">
        <f t="shared" si="15"/>
        <v/>
      </c>
      <c r="AQ18" s="29" t="str">
        <f t="shared" si="15"/>
        <v/>
      </c>
      <c r="AR18" s="29" t="str">
        <f t="shared" si="15"/>
        <v/>
      </c>
      <c r="AS18" s="29" t="str">
        <f t="shared" si="15"/>
        <v/>
      </c>
      <c r="AT18" s="29" t="str">
        <f t="shared" si="15"/>
        <v/>
      </c>
      <c r="AU18" s="29" t="str">
        <f t="shared" si="15"/>
        <v/>
      </c>
      <c r="AV18" s="29" t="str">
        <f t="shared" si="15"/>
        <v/>
      </c>
      <c r="AW18" s="29" t="str">
        <f t="shared" si="15"/>
        <v/>
      </c>
      <c r="AX18" s="29" t="str">
        <f t="shared" si="15"/>
        <v/>
      </c>
      <c r="AY18" s="29" t="str">
        <f t="shared" si="15"/>
        <v/>
      </c>
      <c r="AZ18" s="29" t="str">
        <f t="shared" si="15"/>
        <v/>
      </c>
      <c r="BA18" s="29" t="str">
        <f t="shared" si="15"/>
        <v/>
      </c>
      <c r="BB18" s="29" t="str">
        <f t="shared" si="15"/>
        <v/>
      </c>
      <c r="BC18" s="29" t="str">
        <f t="shared" si="15"/>
        <v/>
      </c>
      <c r="BD18" s="29" t="str">
        <f t="shared" si="15"/>
        <v/>
      </c>
      <c r="BE18" s="29" t="str">
        <f t="shared" si="15"/>
        <v/>
      </c>
      <c r="BF18" s="29" t="str">
        <f t="shared" si="15"/>
        <v/>
      </c>
      <c r="BG18" s="29" t="str">
        <f t="shared" si="15"/>
        <v/>
      </c>
      <c r="BH18" s="29" t="str">
        <f t="shared" si="15"/>
        <v/>
      </c>
      <c r="BI18" s="29" t="str">
        <f t="shared" si="15"/>
        <v/>
      </c>
      <c r="BJ18" s="29" t="str">
        <f t="shared" si="15"/>
        <v/>
      </c>
      <c r="BK18" s="29" t="str">
        <f t="shared" si="15"/>
        <v/>
      </c>
      <c r="BL18" s="29" t="str">
        <f t="shared" si="15"/>
        <v/>
      </c>
      <c r="BM18" s="30" t="str">
        <f t="shared" si="15"/>
        <v/>
      </c>
      <c r="BN18" s="11" t="s">
        <v>0</v>
      </c>
    </row>
    <row r="19" spans="1:66" ht="30" customHeight="1" outlineLevel="2">
      <c r="A19" s="243"/>
      <c r="B19" s="36"/>
      <c r="C19" s="37" t="s">
        <v>43</v>
      </c>
      <c r="D19" s="12"/>
      <c r="E19" s="35"/>
      <c r="F19" s="35"/>
      <c r="G19" s="35" t="s">
        <v>70</v>
      </c>
      <c r="H19" s="35"/>
      <c r="I19" s="38" t="s">
        <v>45</v>
      </c>
      <c r="J19" s="40" t="s">
        <v>71</v>
      </c>
      <c r="K19" s="32" t="s">
        <v>72</v>
      </c>
      <c r="L19" s="32" t="s">
        <v>68</v>
      </c>
      <c r="M19" s="45" t="s">
        <v>69</v>
      </c>
      <c r="N19" s="22"/>
      <c r="O19" s="32">
        <f t="shared" si="12"/>
        <v>1</v>
      </c>
      <c r="P19" s="32">
        <f t="shared" si="4"/>
        <v>2</v>
      </c>
      <c r="Q19" s="31">
        <v>45740</v>
      </c>
      <c r="R19" s="31">
        <v>45741</v>
      </c>
      <c r="S19" s="22"/>
      <c r="T19" s="32">
        <f t="shared" si="13"/>
        <v>1</v>
      </c>
      <c r="U19" s="32">
        <f t="shared" si="6"/>
        <v>1</v>
      </c>
      <c r="V19" s="31">
        <v>45737</v>
      </c>
      <c r="W19" s="31">
        <v>45737</v>
      </c>
      <c r="X19" s="24"/>
      <c r="Y19" s="239">
        <v>1</v>
      </c>
      <c r="Z19" s="240" t="s">
        <v>73</v>
      </c>
      <c r="AA19" s="241"/>
      <c r="AB19" s="242"/>
      <c r="AC19" s="242"/>
      <c r="AD19" s="28"/>
      <c r="AE19" s="219" t="str">
        <f t="shared" ref="AE19:BM19" si="16">IFERROR(IF(AND($Q19&gt;=(EOMONTH(AE$8,-1)+1),$R19&lt;AF$8,$I19="M"),"u",""),"")</f>
        <v/>
      </c>
      <c r="AF19" s="29" t="str">
        <f t="shared" si="16"/>
        <v/>
      </c>
      <c r="AG19" s="29" t="str">
        <f t="shared" si="16"/>
        <v/>
      </c>
      <c r="AH19" s="29" t="str">
        <f t="shared" si="16"/>
        <v/>
      </c>
      <c r="AI19" s="29" t="str">
        <f t="shared" si="16"/>
        <v/>
      </c>
      <c r="AJ19" s="29" t="str">
        <f t="shared" si="16"/>
        <v/>
      </c>
      <c r="AK19" s="29" t="str">
        <f t="shared" si="16"/>
        <v/>
      </c>
      <c r="AL19" s="29" t="str">
        <f t="shared" si="16"/>
        <v/>
      </c>
      <c r="AM19" s="29" t="str">
        <f t="shared" si="16"/>
        <v/>
      </c>
      <c r="AN19" s="29" t="str">
        <f t="shared" si="16"/>
        <v/>
      </c>
      <c r="AO19" s="29" t="str">
        <f t="shared" si="16"/>
        <v/>
      </c>
      <c r="AP19" s="29" t="str">
        <f t="shared" si="16"/>
        <v/>
      </c>
      <c r="AQ19" s="29" t="str">
        <f t="shared" si="16"/>
        <v/>
      </c>
      <c r="AR19" s="29" t="str">
        <f t="shared" si="16"/>
        <v/>
      </c>
      <c r="AS19" s="29" t="str">
        <f t="shared" si="16"/>
        <v/>
      </c>
      <c r="AT19" s="29" t="str">
        <f t="shared" si="16"/>
        <v/>
      </c>
      <c r="AU19" s="29" t="str">
        <f t="shared" si="16"/>
        <v/>
      </c>
      <c r="AV19" s="29" t="str">
        <f t="shared" si="16"/>
        <v/>
      </c>
      <c r="AW19" s="29" t="str">
        <f t="shared" si="16"/>
        <v/>
      </c>
      <c r="AX19" s="29" t="str">
        <f t="shared" si="16"/>
        <v/>
      </c>
      <c r="AY19" s="29" t="str">
        <f t="shared" si="16"/>
        <v/>
      </c>
      <c r="AZ19" s="29" t="str">
        <f t="shared" si="16"/>
        <v/>
      </c>
      <c r="BA19" s="29" t="str">
        <f t="shared" si="16"/>
        <v/>
      </c>
      <c r="BB19" s="29" t="str">
        <f t="shared" si="16"/>
        <v/>
      </c>
      <c r="BC19" s="29" t="str">
        <f t="shared" si="16"/>
        <v/>
      </c>
      <c r="BD19" s="29" t="str">
        <f t="shared" si="16"/>
        <v/>
      </c>
      <c r="BE19" s="29" t="str">
        <f t="shared" si="16"/>
        <v/>
      </c>
      <c r="BF19" s="29" t="str">
        <f t="shared" si="16"/>
        <v/>
      </c>
      <c r="BG19" s="29" t="str">
        <f t="shared" si="16"/>
        <v/>
      </c>
      <c r="BH19" s="29" t="str">
        <f t="shared" si="16"/>
        <v/>
      </c>
      <c r="BI19" s="29" t="str">
        <f t="shared" si="16"/>
        <v/>
      </c>
      <c r="BJ19" s="29" t="str">
        <f t="shared" si="16"/>
        <v/>
      </c>
      <c r="BK19" s="29" t="str">
        <f t="shared" si="16"/>
        <v/>
      </c>
      <c r="BL19" s="29" t="str">
        <f t="shared" si="16"/>
        <v/>
      </c>
      <c r="BM19" s="30" t="str">
        <f t="shared" si="16"/>
        <v/>
      </c>
      <c r="BN19" s="11" t="s">
        <v>0</v>
      </c>
    </row>
    <row r="20" spans="1:66" ht="30" customHeight="1" outlineLevel="2">
      <c r="A20" s="243"/>
      <c r="B20" s="36"/>
      <c r="C20" s="37" t="s">
        <v>43</v>
      </c>
      <c r="D20" s="12"/>
      <c r="E20" s="35"/>
      <c r="F20" s="35"/>
      <c r="G20" s="35" t="s">
        <v>74</v>
      </c>
      <c r="H20" s="35"/>
      <c r="I20" s="38" t="s">
        <v>45</v>
      </c>
      <c r="J20" s="35" t="s">
        <v>75</v>
      </c>
      <c r="K20" s="32" t="s">
        <v>76</v>
      </c>
      <c r="L20" s="32" t="s">
        <v>68</v>
      </c>
      <c r="M20" s="45" t="s">
        <v>69</v>
      </c>
      <c r="N20" s="22"/>
      <c r="O20" s="32">
        <f t="shared" si="12"/>
        <v>1</v>
      </c>
      <c r="P20" s="32">
        <f t="shared" si="4"/>
        <v>2</v>
      </c>
      <c r="Q20" s="31">
        <v>45740</v>
      </c>
      <c r="R20" s="31">
        <v>45741</v>
      </c>
      <c r="S20" s="22"/>
      <c r="T20" s="32">
        <f t="shared" si="13"/>
        <v>1</v>
      </c>
      <c r="U20" s="32">
        <f t="shared" si="6"/>
        <v>1</v>
      </c>
      <c r="V20" s="31">
        <v>45737</v>
      </c>
      <c r="W20" s="31">
        <v>45737</v>
      </c>
      <c r="X20" s="24"/>
      <c r="Y20" s="239">
        <v>1</v>
      </c>
      <c r="Z20" s="240" t="s">
        <v>77</v>
      </c>
      <c r="AA20" s="241"/>
      <c r="AB20" s="242"/>
      <c r="AC20" s="242"/>
      <c r="AD20" s="28"/>
      <c r="AE20" s="21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30"/>
      <c r="BN20" s="11"/>
    </row>
    <row r="21" spans="1:66" ht="30" customHeight="1" outlineLevel="2">
      <c r="A21" s="243"/>
      <c r="B21" s="36" t="s">
        <v>39</v>
      </c>
      <c r="C21" s="37"/>
      <c r="D21" s="12"/>
      <c r="E21" s="35"/>
      <c r="F21" s="35" t="s">
        <v>78</v>
      </c>
      <c r="G21" s="35"/>
      <c r="H21" s="35"/>
      <c r="I21" s="38"/>
      <c r="J21" s="35" t="s">
        <v>79</v>
      </c>
      <c r="K21" s="32" t="s">
        <v>80</v>
      </c>
      <c r="L21" s="39"/>
      <c r="M21" s="32"/>
      <c r="N21" s="22"/>
      <c r="O21" s="32">
        <f t="shared" si="12"/>
        <v>1</v>
      </c>
      <c r="P21" s="32">
        <f t="shared" si="4"/>
        <v>5</v>
      </c>
      <c r="Q21" s="31">
        <f>MIN(Q22:Q24)</f>
        <v>45741</v>
      </c>
      <c r="R21" s="31">
        <f>MAX(R22:R24)</f>
        <v>45747</v>
      </c>
      <c r="S21" s="22"/>
      <c r="T21" s="32">
        <f t="shared" ref="T21:T37" si="17">ROUNDUP(U21/30,0)</f>
        <v>1</v>
      </c>
      <c r="U21" s="32">
        <f t="shared" ref="U21:U37" si="18">NETWORKDAYS(V21,W21)</f>
        <v>6</v>
      </c>
      <c r="V21" s="31">
        <f>MIN(V22:V24)</f>
        <v>45737</v>
      </c>
      <c r="W21" s="31">
        <f>MAX(W22:W24)</f>
        <v>45744</v>
      </c>
      <c r="X21" s="24"/>
      <c r="Y21" s="403">
        <f>AVERAGE(Y22:Y24)</f>
        <v>1</v>
      </c>
      <c r="Z21" s="240"/>
      <c r="AA21" s="241"/>
      <c r="AB21" s="242"/>
      <c r="AC21" s="242"/>
      <c r="AD21" s="28"/>
      <c r="AE21" s="21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30"/>
      <c r="BN21" s="11"/>
    </row>
    <row r="22" spans="1:66" ht="30" customHeight="1" outlineLevel="2">
      <c r="A22" s="243"/>
      <c r="B22" s="36"/>
      <c r="C22" s="37" t="s">
        <v>43</v>
      </c>
      <c r="D22" s="12"/>
      <c r="E22" s="35"/>
      <c r="F22" s="35"/>
      <c r="G22" s="35" t="s">
        <v>81</v>
      </c>
      <c r="H22" s="35"/>
      <c r="I22" s="38" t="s">
        <v>45</v>
      </c>
      <c r="J22" s="35" t="s">
        <v>82</v>
      </c>
      <c r="K22" s="32" t="s">
        <v>83</v>
      </c>
      <c r="L22" s="39" t="s">
        <v>69</v>
      </c>
      <c r="M22" s="32" t="s">
        <v>68</v>
      </c>
      <c r="N22" s="22"/>
      <c r="O22" s="32">
        <f t="shared" si="12"/>
        <v>1</v>
      </c>
      <c r="P22" s="32">
        <f t="shared" si="4"/>
        <v>2</v>
      </c>
      <c r="Q22" s="31">
        <v>45741</v>
      </c>
      <c r="R22" s="31">
        <v>45742</v>
      </c>
      <c r="S22" s="22"/>
      <c r="T22" s="32">
        <f t="shared" si="17"/>
        <v>1</v>
      </c>
      <c r="U22" s="32">
        <f t="shared" si="18"/>
        <v>2</v>
      </c>
      <c r="V22" s="31">
        <v>45737</v>
      </c>
      <c r="W22" s="31">
        <v>45740</v>
      </c>
      <c r="X22" s="24"/>
      <c r="Y22" s="239">
        <v>1</v>
      </c>
      <c r="Z22" s="240" t="s">
        <v>58</v>
      </c>
      <c r="AA22" s="241"/>
      <c r="AB22" s="242"/>
      <c r="AC22" s="242"/>
      <c r="AD22" s="28"/>
      <c r="AE22" s="21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30"/>
      <c r="BN22" s="11"/>
    </row>
    <row r="23" spans="1:66" ht="30" customHeight="1" outlineLevel="2">
      <c r="A23" s="243"/>
      <c r="B23" s="36"/>
      <c r="C23" s="37" t="s">
        <v>43</v>
      </c>
      <c r="D23" s="12"/>
      <c r="E23" s="35"/>
      <c r="F23" s="35"/>
      <c r="G23" s="35" t="s">
        <v>84</v>
      </c>
      <c r="H23" s="35"/>
      <c r="I23" s="38" t="s">
        <v>45</v>
      </c>
      <c r="J23" s="40" t="s">
        <v>85</v>
      </c>
      <c r="K23" s="32" t="s">
        <v>86</v>
      </c>
      <c r="L23" s="39" t="s">
        <v>69</v>
      </c>
      <c r="M23" s="32" t="s">
        <v>68</v>
      </c>
      <c r="N23" s="22"/>
      <c r="O23" s="32">
        <f t="shared" si="12"/>
        <v>1</v>
      </c>
      <c r="P23" s="32">
        <f t="shared" si="4"/>
        <v>2</v>
      </c>
      <c r="Q23" s="31">
        <v>45743</v>
      </c>
      <c r="R23" s="31">
        <v>45744</v>
      </c>
      <c r="S23" s="22"/>
      <c r="T23" s="32">
        <f t="shared" si="17"/>
        <v>1</v>
      </c>
      <c r="U23" s="32">
        <f t="shared" si="18"/>
        <v>1</v>
      </c>
      <c r="V23" s="31">
        <v>45737</v>
      </c>
      <c r="W23" s="31">
        <v>45737</v>
      </c>
      <c r="X23" s="24"/>
      <c r="Y23" s="46">
        <v>1</v>
      </c>
      <c r="Z23" s="40" t="s">
        <v>73</v>
      </c>
      <c r="AA23" s="42"/>
      <c r="AB23" s="41"/>
      <c r="AC23" s="41"/>
      <c r="AD23" s="28"/>
      <c r="AE23" s="219" t="str">
        <f t="shared" ref="AE23:BM23" si="19">IFERROR(IF(AND($Q23&gt;=(EOMONTH(AE$8,-1)+1),$R23&lt;AF$8,$I23="M"),"u",""),"")</f>
        <v/>
      </c>
      <c r="AF23" s="29" t="str">
        <f t="shared" si="19"/>
        <v/>
      </c>
      <c r="AG23" s="29" t="str">
        <f t="shared" si="19"/>
        <v/>
      </c>
      <c r="AH23" s="29" t="str">
        <f t="shared" si="19"/>
        <v/>
      </c>
      <c r="AI23" s="29" t="str">
        <f t="shared" si="19"/>
        <v/>
      </c>
      <c r="AJ23" s="29" t="str">
        <f t="shared" si="19"/>
        <v/>
      </c>
      <c r="AK23" s="29" t="str">
        <f t="shared" si="19"/>
        <v/>
      </c>
      <c r="AL23" s="29" t="str">
        <f t="shared" si="19"/>
        <v/>
      </c>
      <c r="AM23" s="29" t="str">
        <f t="shared" si="19"/>
        <v/>
      </c>
      <c r="AN23" s="29" t="str">
        <f t="shared" si="19"/>
        <v/>
      </c>
      <c r="AO23" s="29" t="str">
        <f t="shared" si="19"/>
        <v/>
      </c>
      <c r="AP23" s="29" t="str">
        <f t="shared" si="19"/>
        <v/>
      </c>
      <c r="AQ23" s="29" t="str">
        <f t="shared" si="19"/>
        <v/>
      </c>
      <c r="AR23" s="29" t="str">
        <f t="shared" si="19"/>
        <v/>
      </c>
      <c r="AS23" s="29" t="str">
        <f t="shared" si="19"/>
        <v/>
      </c>
      <c r="AT23" s="29" t="str">
        <f t="shared" si="19"/>
        <v/>
      </c>
      <c r="AU23" s="29" t="str">
        <f t="shared" si="19"/>
        <v/>
      </c>
      <c r="AV23" s="29" t="str">
        <f t="shared" si="19"/>
        <v/>
      </c>
      <c r="AW23" s="29" t="str">
        <f t="shared" si="19"/>
        <v/>
      </c>
      <c r="AX23" s="29" t="str">
        <f t="shared" si="19"/>
        <v/>
      </c>
      <c r="AY23" s="29" t="str">
        <f t="shared" si="19"/>
        <v/>
      </c>
      <c r="AZ23" s="29" t="str">
        <f t="shared" si="19"/>
        <v/>
      </c>
      <c r="BA23" s="29" t="str">
        <f t="shared" si="19"/>
        <v/>
      </c>
      <c r="BB23" s="29" t="str">
        <f t="shared" si="19"/>
        <v/>
      </c>
      <c r="BC23" s="29" t="str">
        <f t="shared" si="19"/>
        <v/>
      </c>
      <c r="BD23" s="29" t="str">
        <f t="shared" si="19"/>
        <v/>
      </c>
      <c r="BE23" s="29" t="str">
        <f t="shared" si="19"/>
        <v/>
      </c>
      <c r="BF23" s="29" t="str">
        <f t="shared" si="19"/>
        <v/>
      </c>
      <c r="BG23" s="29" t="str">
        <f t="shared" si="19"/>
        <v/>
      </c>
      <c r="BH23" s="29" t="str">
        <f t="shared" si="19"/>
        <v/>
      </c>
      <c r="BI23" s="29" t="str">
        <f t="shared" si="19"/>
        <v/>
      </c>
      <c r="BJ23" s="29" t="str">
        <f t="shared" si="19"/>
        <v/>
      </c>
      <c r="BK23" s="29" t="str">
        <f t="shared" si="19"/>
        <v/>
      </c>
      <c r="BL23" s="29" t="str">
        <f t="shared" si="19"/>
        <v/>
      </c>
      <c r="BM23" s="30" t="str">
        <f t="shared" si="19"/>
        <v/>
      </c>
      <c r="BN23" s="11" t="s">
        <v>0</v>
      </c>
    </row>
    <row r="24" spans="1:66" ht="30" customHeight="1" outlineLevel="2">
      <c r="A24" s="243"/>
      <c r="B24" s="36"/>
      <c r="C24" s="37" t="s">
        <v>43</v>
      </c>
      <c r="D24" s="12"/>
      <c r="E24" s="35"/>
      <c r="F24" s="35"/>
      <c r="G24" s="35" t="s">
        <v>87</v>
      </c>
      <c r="H24" s="47"/>
      <c r="I24" s="38" t="s">
        <v>45</v>
      </c>
      <c r="J24" s="40" t="s">
        <v>88</v>
      </c>
      <c r="K24" s="32" t="s">
        <v>89</v>
      </c>
      <c r="L24" s="39" t="s">
        <v>69</v>
      </c>
      <c r="M24" s="32" t="s">
        <v>68</v>
      </c>
      <c r="N24" s="22"/>
      <c r="O24" s="32">
        <f t="shared" si="12"/>
        <v>1</v>
      </c>
      <c r="P24" s="32">
        <f t="shared" si="4"/>
        <v>3</v>
      </c>
      <c r="Q24" s="31">
        <v>45743</v>
      </c>
      <c r="R24" s="31">
        <v>45747</v>
      </c>
      <c r="S24" s="22"/>
      <c r="T24" s="32">
        <f t="shared" si="17"/>
        <v>1</v>
      </c>
      <c r="U24" s="32">
        <f t="shared" si="18"/>
        <v>1</v>
      </c>
      <c r="V24" s="31">
        <v>45744</v>
      </c>
      <c r="W24" s="31">
        <v>45744</v>
      </c>
      <c r="X24" s="24"/>
      <c r="Y24" s="46">
        <v>1</v>
      </c>
      <c r="Z24" s="40" t="s">
        <v>77</v>
      </c>
      <c r="AA24" s="42"/>
      <c r="AB24" s="41"/>
      <c r="AC24" s="41"/>
      <c r="AD24" s="28"/>
      <c r="AE24" s="21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30"/>
      <c r="BN24" s="11"/>
    </row>
    <row r="25" spans="1:66" ht="30" customHeight="1">
      <c r="A25" s="220" t="s">
        <v>34</v>
      </c>
      <c r="B25" s="221"/>
      <c r="C25" s="222"/>
      <c r="D25" s="223"/>
      <c r="E25" s="223" t="s">
        <v>90</v>
      </c>
      <c r="F25" s="223"/>
      <c r="G25" s="223"/>
      <c r="H25" s="223"/>
      <c r="I25" s="245"/>
      <c r="J25" s="227" t="s">
        <v>91</v>
      </c>
      <c r="K25" s="227" t="s">
        <v>92</v>
      </c>
      <c r="L25" s="54"/>
      <c r="M25" s="244"/>
      <c r="N25" s="22"/>
      <c r="O25" s="32">
        <f>ROUNDUP(P25/30,0)</f>
        <v>1</v>
      </c>
      <c r="P25" s="32">
        <f>NETWORKDAYS(Q25,R25)</f>
        <v>3</v>
      </c>
      <c r="Q25" s="246">
        <f>MIN(Q27:Q33)</f>
        <v>45743</v>
      </c>
      <c r="R25" s="246">
        <f>MAX(R27:R33)</f>
        <v>45747</v>
      </c>
      <c r="S25" s="22"/>
      <c r="T25" s="32">
        <f>ROUNDUP(U25/30,0)</f>
        <v>1</v>
      </c>
      <c r="U25" s="32">
        <f>NETWORKDAYS(V25,W25)</f>
        <v>17</v>
      </c>
      <c r="V25" s="226">
        <f>MIN(V27:V33)</f>
        <v>45744</v>
      </c>
      <c r="W25" s="226">
        <f>MAX(W27:W33)</f>
        <v>45768</v>
      </c>
      <c r="X25" s="24"/>
      <c r="Y25" s="239">
        <f>AVERAGE(Y26:Y33)</f>
        <v>1</v>
      </c>
      <c r="Z25" s="247"/>
      <c r="AA25" s="247"/>
      <c r="AB25" s="248"/>
      <c r="AC25" s="248"/>
      <c r="AD25" s="28"/>
      <c r="AE25" s="219" t="str">
        <f>IFERROR(IF(AND($Q25&gt;=(EOMONTH(AE$8,-1)+1),$R25&lt;AF$8,$I25="M"),"u",""),"")</f>
        <v/>
      </c>
      <c r="AF25" s="29" t="str">
        <f>IFERROR(IF(AND($Q25&gt;=(EOMONTH(AF$8,-1)+1),$R25&lt;AG$8,$I25="M"),"u",""),"")</f>
        <v/>
      </c>
      <c r="AG25" s="29" t="str">
        <f>IFERROR(IF(AND($Q25&gt;=(EOMONTH(AG$8,-1)+1),$R25&lt;AH$8,$I25="M"),"u",""),"")</f>
        <v/>
      </c>
      <c r="AH25" s="29" t="str">
        <f>IFERROR(IF(AND($Q25&gt;=(EOMONTH(AH$8,-1)+1),$R25&lt;AI$8,$I25="M"),"u",""),"")</f>
        <v/>
      </c>
      <c r="AI25" s="29" t="str">
        <f>IFERROR(IF(AND($Q25&gt;=(EOMONTH(AI$8,-1)+1),$R25&lt;AJ$8,$I25="M"),"u",""),"")</f>
        <v/>
      </c>
      <c r="AJ25" s="29" t="str">
        <f>IFERROR(IF(AND($Q25&gt;=(EOMONTH(AJ$8,-1)+1),$R25&lt;AK$8,$I25="M"),"u",""),"")</f>
        <v/>
      </c>
      <c r="AK25" s="29" t="str">
        <f>IFERROR(IF(AND($Q25&gt;=(EOMONTH(AK$8,-1)+1),$R25&lt;AL$8,$I25="M"),"u",""),"")</f>
        <v/>
      </c>
      <c r="AL25" s="29" t="str">
        <f>IFERROR(IF(AND($Q25&gt;=(EOMONTH(AL$8,-1)+1),$R25&lt;AM$8,$I25="M"),"u",""),"")</f>
        <v/>
      </c>
      <c r="AM25" s="29" t="str">
        <f>IFERROR(IF(AND($Q25&gt;=(EOMONTH(AM$8,-1)+1),$R25&lt;AN$8,$I25="M"),"u",""),"")</f>
        <v/>
      </c>
      <c r="AN25" s="29" t="str">
        <f>IFERROR(IF(AND($Q25&gt;=(EOMONTH(AN$8,-1)+1),$R25&lt;AO$8,$I25="M"),"u",""),"")</f>
        <v/>
      </c>
      <c r="AO25" s="29" t="str">
        <f>IFERROR(IF(AND($Q25&gt;=(EOMONTH(AO$8,-1)+1),$R25&lt;AP$8,$I25="M"),"u",""),"")</f>
        <v/>
      </c>
      <c r="AP25" s="29" t="str">
        <f>IFERROR(IF(AND($Q25&gt;=(EOMONTH(AP$8,-1)+1),$R25&lt;AQ$8,$I25="M"),"u",""),"")</f>
        <v/>
      </c>
      <c r="AQ25" s="29" t="str">
        <f>IFERROR(IF(AND($Q25&gt;=(EOMONTH(AQ$8,-1)+1),$R25&lt;AR$8,$I25="M"),"u",""),"")</f>
        <v/>
      </c>
      <c r="AR25" s="29" t="str">
        <f>IFERROR(IF(AND($Q25&gt;=(EOMONTH(AR$8,-1)+1),$R25&lt;AS$8,$I25="M"),"u",""),"")</f>
        <v/>
      </c>
      <c r="AS25" s="29" t="str">
        <f>IFERROR(IF(AND($Q25&gt;=(EOMONTH(AS$8,-1)+1),$R25&lt;AT$8,$I25="M"),"u",""),"")</f>
        <v/>
      </c>
      <c r="AT25" s="29" t="str">
        <f>IFERROR(IF(AND($Q25&gt;=(EOMONTH(AT$8,-1)+1),$R25&lt;AU$8,$I25="M"),"u",""),"")</f>
        <v/>
      </c>
      <c r="AU25" s="29" t="str">
        <f>IFERROR(IF(AND($Q25&gt;=(EOMONTH(AU$8,-1)+1),$R25&lt;AV$8,$I25="M"),"u",""),"")</f>
        <v/>
      </c>
      <c r="AV25" s="29" t="str">
        <f>IFERROR(IF(AND($Q25&gt;=(EOMONTH(AV$8,-1)+1),$R25&lt;AW$8,$I25="M"),"u",""),"")</f>
        <v/>
      </c>
      <c r="AW25" s="29" t="str">
        <f>IFERROR(IF(AND($Q25&gt;=(EOMONTH(AW$8,-1)+1),$R25&lt;AX$8,$I25="M"),"u",""),"")</f>
        <v/>
      </c>
      <c r="AX25" s="29" t="str">
        <f>IFERROR(IF(AND($Q25&gt;=(EOMONTH(AX$8,-1)+1),$R25&lt;AY$8,$I25="M"),"u",""),"")</f>
        <v/>
      </c>
      <c r="AY25" s="29" t="str">
        <f>IFERROR(IF(AND($Q25&gt;=(EOMONTH(AY$8,-1)+1),$R25&lt;AZ$8,$I25="M"),"u",""),"")</f>
        <v/>
      </c>
      <c r="AZ25" s="29" t="str">
        <f>IFERROR(IF(AND($Q25&gt;=(EOMONTH(AZ$8,-1)+1),$R25&lt;BA$8,$I25="M"),"u",""),"")</f>
        <v/>
      </c>
      <c r="BA25" s="29" t="str">
        <f>IFERROR(IF(AND($Q25&gt;=(EOMONTH(BA$8,-1)+1),$R25&lt;BB$8,$I25="M"),"u",""),"")</f>
        <v/>
      </c>
      <c r="BB25" s="29" t="str">
        <f>IFERROR(IF(AND($Q25&gt;=(EOMONTH(BB$8,-1)+1),$R25&lt;BC$8,$I25="M"),"u",""),"")</f>
        <v/>
      </c>
      <c r="BC25" s="29" t="str">
        <f>IFERROR(IF(AND($Q25&gt;=(EOMONTH(BC$8,-1)+1),$R25&lt;BD$8,$I25="M"),"u",""),"")</f>
        <v/>
      </c>
      <c r="BD25" s="29" t="str">
        <f>IFERROR(IF(AND($Q25&gt;=(EOMONTH(BD$8,-1)+1),$R25&lt;BE$8,$I25="M"),"u",""),"")</f>
        <v/>
      </c>
      <c r="BE25" s="29" t="str">
        <f>IFERROR(IF(AND($Q25&gt;=(EOMONTH(BE$8,-1)+1),$R25&lt;BF$8,$I25="M"),"u",""),"")</f>
        <v/>
      </c>
      <c r="BF25" s="29" t="str">
        <f>IFERROR(IF(AND($Q25&gt;=(EOMONTH(BF$8,-1)+1),$R25&lt;BG$8,$I25="M"),"u",""),"")</f>
        <v/>
      </c>
      <c r="BG25" s="29" t="str">
        <f>IFERROR(IF(AND($Q25&gt;=(EOMONTH(BG$8,-1)+1),$R25&lt;BH$8,$I25="M"),"u",""),"")</f>
        <v/>
      </c>
      <c r="BH25" s="29" t="str">
        <f>IFERROR(IF(AND($Q25&gt;=(EOMONTH(BH$8,-1)+1),$R25&lt;BI$8,$I25="M"),"u",""),"")</f>
        <v/>
      </c>
      <c r="BI25" s="29" t="str">
        <f>IFERROR(IF(AND($Q25&gt;=(EOMONTH(BI$8,-1)+1),$R25&lt;BJ$8,$I25="M"),"u",""),"")</f>
        <v/>
      </c>
      <c r="BJ25" s="29" t="str">
        <f>IFERROR(IF(AND($Q25&gt;=(EOMONTH(BJ$8,-1)+1),$R25&lt;BK$8,$I25="M"),"u",""),"")</f>
        <v/>
      </c>
      <c r="BK25" s="29" t="str">
        <f>IFERROR(IF(AND($Q25&gt;=(EOMONTH(BK$8,-1)+1),$R25&lt;BL$8,$I25="M"),"u",""),"")</f>
        <v/>
      </c>
      <c r="BL25" s="29" t="str">
        <f>IFERROR(IF(AND($Q25&gt;=(EOMONTH(BL$8,-1)+1),$R25&lt;BM$8,$I25="M"),"u",""),"")</f>
        <v/>
      </c>
      <c r="BM25" s="30" t="str">
        <f>IFERROR(IF(AND($Q25&gt;=(EOMONTH(BM$8,-1)+1),$R25&lt;BN$8,$I25="M"),"u",""),"")</f>
        <v/>
      </c>
      <c r="BN25" s="11" t="s">
        <v>0</v>
      </c>
    </row>
    <row r="26" spans="1:66" ht="30" customHeight="1" outlineLevel="1">
      <c r="A26" s="243"/>
      <c r="B26" s="36" t="s">
        <v>39</v>
      </c>
      <c r="C26" s="37"/>
      <c r="D26" s="12"/>
      <c r="E26" s="35"/>
      <c r="F26" s="35" t="s">
        <v>93</v>
      </c>
      <c r="G26" s="35"/>
      <c r="H26" s="35"/>
      <c r="I26" s="38"/>
      <c r="J26" s="35" t="s">
        <v>94</v>
      </c>
      <c r="K26" s="32" t="s">
        <v>95</v>
      </c>
      <c r="L26" s="39"/>
      <c r="M26" s="32"/>
      <c r="N26" s="22"/>
      <c r="O26" s="32">
        <f t="shared" si="12"/>
        <v>1</v>
      </c>
      <c r="P26" s="32">
        <f t="shared" si="4"/>
        <v>2</v>
      </c>
      <c r="Q26" s="31">
        <f>MIN(Q27:Q28)</f>
        <v>45743</v>
      </c>
      <c r="R26" s="31">
        <f>MAX(R27:R28)</f>
        <v>45744</v>
      </c>
      <c r="S26" s="22"/>
      <c r="T26" s="32">
        <f t="shared" si="17"/>
        <v>1</v>
      </c>
      <c r="U26" s="32">
        <f t="shared" si="18"/>
        <v>17</v>
      </c>
      <c r="V26" s="31">
        <f>MIN(V27:V28)</f>
        <v>45744</v>
      </c>
      <c r="W26" s="31">
        <f>MAX(W27:W29)</f>
        <v>45768</v>
      </c>
      <c r="X26" s="24"/>
      <c r="Y26" s="239">
        <f>AVERAGE(Y27:Y28)</f>
        <v>1</v>
      </c>
      <c r="Z26" s="48"/>
      <c r="AA26" s="240"/>
      <c r="AB26" s="242"/>
      <c r="AC26" s="242"/>
      <c r="AD26" s="28"/>
      <c r="AE26" s="219" t="str">
        <f t="shared" ref="AE26:BM26" si="20">IFERROR(IF(AND($Q26&gt;=(EOMONTH(AE$8,-1)+1),$R26&lt;AF$8,$I26="M"),"u",""),"")</f>
        <v/>
      </c>
      <c r="AF26" s="29" t="str">
        <f t="shared" si="20"/>
        <v/>
      </c>
      <c r="AG26" s="29" t="str">
        <f t="shared" si="20"/>
        <v/>
      </c>
      <c r="AH26" s="29" t="str">
        <f t="shared" si="20"/>
        <v/>
      </c>
      <c r="AI26" s="29" t="str">
        <f t="shared" si="20"/>
        <v/>
      </c>
      <c r="AJ26" s="29" t="str">
        <f t="shared" si="20"/>
        <v/>
      </c>
      <c r="AK26" s="29" t="str">
        <f t="shared" si="20"/>
        <v/>
      </c>
      <c r="AL26" s="29" t="str">
        <f t="shared" si="20"/>
        <v/>
      </c>
      <c r="AM26" s="29" t="str">
        <f t="shared" si="20"/>
        <v/>
      </c>
      <c r="AN26" s="29" t="str">
        <f t="shared" si="20"/>
        <v/>
      </c>
      <c r="AO26" s="29" t="str">
        <f t="shared" si="20"/>
        <v/>
      </c>
      <c r="AP26" s="29" t="str">
        <f t="shared" si="20"/>
        <v/>
      </c>
      <c r="AQ26" s="29" t="str">
        <f t="shared" si="20"/>
        <v/>
      </c>
      <c r="AR26" s="29" t="str">
        <f t="shared" si="20"/>
        <v/>
      </c>
      <c r="AS26" s="29" t="str">
        <f t="shared" si="20"/>
        <v/>
      </c>
      <c r="AT26" s="29" t="str">
        <f t="shared" si="20"/>
        <v/>
      </c>
      <c r="AU26" s="29" t="str">
        <f t="shared" si="20"/>
        <v/>
      </c>
      <c r="AV26" s="29" t="str">
        <f t="shared" si="20"/>
        <v/>
      </c>
      <c r="AW26" s="29" t="str">
        <f t="shared" si="20"/>
        <v/>
      </c>
      <c r="AX26" s="29" t="str">
        <f t="shared" si="20"/>
        <v/>
      </c>
      <c r="AY26" s="29" t="str">
        <f t="shared" si="20"/>
        <v/>
      </c>
      <c r="AZ26" s="29" t="str">
        <f t="shared" si="20"/>
        <v/>
      </c>
      <c r="BA26" s="29" t="str">
        <f t="shared" si="20"/>
        <v/>
      </c>
      <c r="BB26" s="29" t="str">
        <f t="shared" si="20"/>
        <v/>
      </c>
      <c r="BC26" s="29" t="str">
        <f t="shared" si="20"/>
        <v/>
      </c>
      <c r="BD26" s="29" t="str">
        <f t="shared" si="20"/>
        <v/>
      </c>
      <c r="BE26" s="29" t="str">
        <f t="shared" si="20"/>
        <v/>
      </c>
      <c r="BF26" s="29" t="str">
        <f t="shared" si="20"/>
        <v/>
      </c>
      <c r="BG26" s="29" t="str">
        <f t="shared" si="20"/>
        <v/>
      </c>
      <c r="BH26" s="29" t="str">
        <f t="shared" si="20"/>
        <v/>
      </c>
      <c r="BI26" s="29" t="str">
        <f t="shared" si="20"/>
        <v/>
      </c>
      <c r="BJ26" s="29" t="str">
        <f t="shared" si="20"/>
        <v/>
      </c>
      <c r="BK26" s="29" t="str">
        <f t="shared" si="20"/>
        <v/>
      </c>
      <c r="BL26" s="29" t="str">
        <f t="shared" si="20"/>
        <v/>
      </c>
      <c r="BM26" s="30" t="str">
        <f t="shared" si="20"/>
        <v/>
      </c>
      <c r="BN26" s="11" t="s">
        <v>0</v>
      </c>
    </row>
    <row r="27" spans="1:66" ht="30" customHeight="1" outlineLevel="2">
      <c r="A27" s="243"/>
      <c r="B27" s="36"/>
      <c r="C27" s="37" t="s">
        <v>43</v>
      </c>
      <c r="D27" s="12"/>
      <c r="E27" s="35"/>
      <c r="F27" s="35"/>
      <c r="G27" s="35" t="s">
        <v>96</v>
      </c>
      <c r="H27" s="35"/>
      <c r="I27" s="38"/>
      <c r="J27" s="40" t="s">
        <v>97</v>
      </c>
      <c r="K27" s="32" t="s">
        <v>98</v>
      </c>
      <c r="L27" s="39" t="s">
        <v>99</v>
      </c>
      <c r="M27" s="32" t="s">
        <v>69</v>
      </c>
      <c r="N27" s="22"/>
      <c r="O27" s="32">
        <f t="shared" si="12"/>
        <v>1</v>
      </c>
      <c r="P27" s="32">
        <f t="shared" si="4"/>
        <v>1</v>
      </c>
      <c r="Q27" s="31">
        <v>45743</v>
      </c>
      <c r="R27" s="31">
        <v>45743</v>
      </c>
      <c r="S27" s="22"/>
      <c r="T27" s="32">
        <f t="shared" si="17"/>
        <v>0</v>
      </c>
      <c r="U27" s="32">
        <f t="shared" si="18"/>
        <v>0</v>
      </c>
      <c r="V27" s="31">
        <v>45745</v>
      </c>
      <c r="W27" s="31">
        <v>45745</v>
      </c>
      <c r="X27" s="24"/>
      <c r="Y27" s="239">
        <v>1</v>
      </c>
      <c r="Z27" s="240" t="s">
        <v>100</v>
      </c>
      <c r="AA27" s="240"/>
      <c r="AB27" s="242"/>
      <c r="AC27" s="242"/>
      <c r="AD27" s="28"/>
      <c r="AE27" s="21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30"/>
      <c r="BN27" s="11"/>
    </row>
    <row r="28" spans="1:66" ht="30" customHeight="1" outlineLevel="2">
      <c r="A28" s="243"/>
      <c r="B28" s="36"/>
      <c r="C28" s="37" t="s">
        <v>43</v>
      </c>
      <c r="D28" s="12"/>
      <c r="E28" s="35"/>
      <c r="F28" s="35"/>
      <c r="G28" s="35" t="s">
        <v>101</v>
      </c>
      <c r="H28" s="47"/>
      <c r="I28" s="38"/>
      <c r="J28" s="40" t="s">
        <v>102</v>
      </c>
      <c r="K28" s="32" t="s">
        <v>103</v>
      </c>
      <c r="L28" s="39" t="s">
        <v>99</v>
      </c>
      <c r="M28" s="32" t="s">
        <v>69</v>
      </c>
      <c r="N28" s="22"/>
      <c r="O28" s="32">
        <f t="shared" si="12"/>
        <v>1</v>
      </c>
      <c r="P28" s="32">
        <f t="shared" si="4"/>
        <v>1</v>
      </c>
      <c r="Q28" s="31">
        <v>45744</v>
      </c>
      <c r="R28" s="31">
        <v>45744</v>
      </c>
      <c r="S28" s="22"/>
      <c r="T28" s="32">
        <f t="shared" si="17"/>
        <v>1</v>
      </c>
      <c r="U28" s="32">
        <f t="shared" si="18"/>
        <v>1</v>
      </c>
      <c r="V28" s="31">
        <v>45744</v>
      </c>
      <c r="W28" s="31">
        <v>45744</v>
      </c>
      <c r="X28" s="24"/>
      <c r="Y28" s="239">
        <v>1</v>
      </c>
      <c r="Z28" s="240" t="s">
        <v>104</v>
      </c>
      <c r="AA28" s="240"/>
      <c r="AB28" s="242"/>
      <c r="AC28" s="242"/>
      <c r="AD28" s="28"/>
      <c r="AE28" s="21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30"/>
      <c r="BN28" s="11"/>
    </row>
    <row r="29" spans="1:66" ht="30" customHeight="1" outlineLevel="1">
      <c r="A29" s="243"/>
      <c r="B29" s="36" t="s">
        <v>39</v>
      </c>
      <c r="C29" s="37"/>
      <c r="D29" s="12"/>
      <c r="E29" s="35"/>
      <c r="F29" s="35" t="s">
        <v>105</v>
      </c>
      <c r="G29" s="35"/>
      <c r="H29" s="35"/>
      <c r="I29" s="38"/>
      <c r="J29" s="35" t="s">
        <v>106</v>
      </c>
      <c r="K29" s="32" t="s">
        <v>107</v>
      </c>
      <c r="L29" s="39"/>
      <c r="M29" s="32"/>
      <c r="N29" s="22"/>
      <c r="O29" s="32">
        <f t="shared" si="12"/>
        <v>0</v>
      </c>
      <c r="P29" s="32">
        <f t="shared" si="4"/>
        <v>0</v>
      </c>
      <c r="Q29" s="31">
        <f>MIN(Q30)</f>
        <v>45745</v>
      </c>
      <c r="R29" s="31">
        <f>MAX(R30)</f>
        <v>45745</v>
      </c>
      <c r="S29" s="22"/>
      <c r="T29" s="32">
        <f t="shared" si="17"/>
        <v>1</v>
      </c>
      <c r="U29" s="32">
        <f t="shared" si="18"/>
        <v>16</v>
      </c>
      <c r="V29" s="31">
        <f>MIN(V30:V32)</f>
        <v>45745</v>
      </c>
      <c r="W29" s="31">
        <f>MAX(W30:W32)</f>
        <v>45768</v>
      </c>
      <c r="X29" s="24"/>
      <c r="Y29" s="239">
        <f>AVERAGE(Y30:Y30)</f>
        <v>1</v>
      </c>
      <c r="Z29" s="240"/>
      <c r="AA29" s="240"/>
      <c r="AB29" s="242"/>
      <c r="AC29" s="242"/>
      <c r="AD29" s="28"/>
      <c r="AE29" s="21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30"/>
      <c r="BN29" s="11"/>
    </row>
    <row r="30" spans="1:66" ht="30" customHeight="1" outlineLevel="2">
      <c r="A30" s="243"/>
      <c r="B30" s="36"/>
      <c r="C30" s="37" t="s">
        <v>43</v>
      </c>
      <c r="D30" s="12"/>
      <c r="E30" s="35"/>
      <c r="F30" s="35"/>
      <c r="G30" s="35" t="s">
        <v>108</v>
      </c>
      <c r="H30" s="35"/>
      <c r="I30" s="38"/>
      <c r="J30" s="40" t="s">
        <v>109</v>
      </c>
      <c r="K30" s="32" t="s">
        <v>110</v>
      </c>
      <c r="L30" s="39" t="s">
        <v>99</v>
      </c>
      <c r="M30" s="32" t="s">
        <v>69</v>
      </c>
      <c r="N30" s="22"/>
      <c r="O30" s="32">
        <f t="shared" si="12"/>
        <v>0</v>
      </c>
      <c r="P30" s="32">
        <f t="shared" si="4"/>
        <v>0</v>
      </c>
      <c r="Q30" s="31">
        <v>45745</v>
      </c>
      <c r="R30" s="31">
        <v>45745</v>
      </c>
      <c r="S30" s="22"/>
      <c r="T30" s="32">
        <f t="shared" si="17"/>
        <v>0</v>
      </c>
      <c r="U30" s="32">
        <f t="shared" si="18"/>
        <v>0</v>
      </c>
      <c r="V30" s="31">
        <v>45745</v>
      </c>
      <c r="W30" s="31">
        <v>45745</v>
      </c>
      <c r="X30" s="24"/>
      <c r="Y30" s="239">
        <v>1</v>
      </c>
      <c r="Z30" s="240" t="s">
        <v>104</v>
      </c>
      <c r="AA30" s="240"/>
      <c r="AB30" s="242"/>
      <c r="AC30" s="242"/>
      <c r="AD30" s="28"/>
      <c r="AE30" s="21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30"/>
      <c r="BN30" s="11"/>
    </row>
    <row r="31" spans="1:66" ht="30" customHeight="1" outlineLevel="1">
      <c r="A31" s="243"/>
      <c r="B31" s="36" t="s">
        <v>39</v>
      </c>
      <c r="C31" s="37"/>
      <c r="D31" s="12"/>
      <c r="E31" s="35"/>
      <c r="F31" s="35" t="s">
        <v>111</v>
      </c>
      <c r="G31" s="35"/>
      <c r="H31" s="47"/>
      <c r="I31" s="38"/>
      <c r="J31" s="40" t="s">
        <v>112</v>
      </c>
      <c r="K31" s="32" t="s">
        <v>113</v>
      </c>
      <c r="L31" s="249"/>
      <c r="M31" s="32"/>
      <c r="N31" s="22"/>
      <c r="O31" s="32">
        <f t="shared" si="12"/>
        <v>1</v>
      </c>
      <c r="P31" s="32">
        <f t="shared" si="4"/>
        <v>1</v>
      </c>
      <c r="Q31" s="31">
        <f>MIN(Q32:Q33)</f>
        <v>45746</v>
      </c>
      <c r="R31" s="31">
        <f>MAX(R32:R33)</f>
        <v>45747</v>
      </c>
      <c r="S31" s="22"/>
      <c r="T31" s="32">
        <f t="shared" si="17"/>
        <v>1</v>
      </c>
      <c r="U31" s="32">
        <f t="shared" si="18"/>
        <v>1</v>
      </c>
      <c r="V31" s="31">
        <f>MAX(V32:V33)</f>
        <v>45768</v>
      </c>
      <c r="W31" s="31">
        <f>MAX(W32:W33)</f>
        <v>45768</v>
      </c>
      <c r="X31" s="24"/>
      <c r="Y31" s="403">
        <f>AVERAGE(Y32:Y33)</f>
        <v>1</v>
      </c>
      <c r="Z31" s="240"/>
      <c r="AA31" s="240"/>
      <c r="AB31" s="242"/>
      <c r="AC31" s="242"/>
      <c r="AD31" s="28"/>
      <c r="AE31" s="21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30"/>
      <c r="BN31" s="11"/>
    </row>
    <row r="32" spans="1:66" ht="30" customHeight="1" outlineLevel="2">
      <c r="A32" s="243"/>
      <c r="B32" s="36"/>
      <c r="C32" s="37" t="s">
        <v>43</v>
      </c>
      <c r="D32" s="12"/>
      <c r="E32" s="35"/>
      <c r="F32" s="35"/>
      <c r="G32" s="35" t="s">
        <v>114</v>
      </c>
      <c r="H32" s="35"/>
      <c r="I32" s="38"/>
      <c r="J32" s="40" t="s">
        <v>115</v>
      </c>
      <c r="K32" s="32" t="s">
        <v>116</v>
      </c>
      <c r="L32" s="39" t="s">
        <v>99</v>
      </c>
      <c r="M32" s="32" t="s">
        <v>69</v>
      </c>
      <c r="N32" s="32"/>
      <c r="O32" s="32">
        <f t="shared" si="12"/>
        <v>1</v>
      </c>
      <c r="P32" s="32">
        <f t="shared" si="4"/>
        <v>1</v>
      </c>
      <c r="Q32" s="31">
        <v>45746</v>
      </c>
      <c r="R32" s="31">
        <v>45747</v>
      </c>
      <c r="S32" s="22"/>
      <c r="T32" s="32">
        <f t="shared" si="17"/>
        <v>1</v>
      </c>
      <c r="U32" s="32">
        <f t="shared" si="18"/>
        <v>1</v>
      </c>
      <c r="V32" s="31">
        <v>45747</v>
      </c>
      <c r="W32" s="31">
        <v>45747</v>
      </c>
      <c r="X32" s="24"/>
      <c r="Y32" s="239">
        <v>1</v>
      </c>
      <c r="Z32" s="240" t="s">
        <v>117</v>
      </c>
      <c r="AA32" s="240"/>
      <c r="AB32" s="242"/>
      <c r="AC32" s="242"/>
      <c r="AD32" s="28"/>
      <c r="AE32" s="21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30"/>
      <c r="BN32" s="11"/>
    </row>
    <row r="33" spans="1:66" ht="30" customHeight="1" outlineLevel="2">
      <c r="A33" s="243"/>
      <c r="B33" s="36"/>
      <c r="C33" s="37" t="s">
        <v>43</v>
      </c>
      <c r="D33" s="12"/>
      <c r="E33" s="35"/>
      <c r="F33" s="35"/>
      <c r="G33" s="35" t="s">
        <v>118</v>
      </c>
      <c r="H33" s="47"/>
      <c r="I33" s="38"/>
      <c r="J33" s="40" t="s">
        <v>119</v>
      </c>
      <c r="K33" s="32" t="s">
        <v>92</v>
      </c>
      <c r="L33" s="39" t="s">
        <v>99</v>
      </c>
      <c r="M33" s="32" t="s">
        <v>120</v>
      </c>
      <c r="N33" s="32"/>
      <c r="O33" s="32">
        <f t="shared" si="12"/>
        <v>1</v>
      </c>
      <c r="P33" s="32">
        <f t="shared" si="4"/>
        <v>1</v>
      </c>
      <c r="Q33" s="31">
        <v>45747</v>
      </c>
      <c r="R33" s="31">
        <v>45747</v>
      </c>
      <c r="S33" s="22"/>
      <c r="T33" s="32">
        <f t="shared" si="17"/>
        <v>1</v>
      </c>
      <c r="U33" s="32">
        <f t="shared" si="18"/>
        <v>1</v>
      </c>
      <c r="V33" s="31">
        <v>45768</v>
      </c>
      <c r="W33" s="31">
        <v>45768</v>
      </c>
      <c r="X33" s="24"/>
      <c r="Y33" s="239">
        <v>1</v>
      </c>
      <c r="Z33" s="250" t="s">
        <v>121</v>
      </c>
      <c r="AA33" s="240"/>
      <c r="AB33" s="242"/>
      <c r="AC33" s="242"/>
      <c r="AD33" s="28"/>
      <c r="AE33" s="21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30"/>
      <c r="BN33" s="11"/>
    </row>
    <row r="34" spans="1:66" ht="30" customHeight="1" outlineLevel="1">
      <c r="A34" s="230" t="s">
        <v>34</v>
      </c>
      <c r="B34" s="231"/>
      <c r="C34" s="232"/>
      <c r="D34" s="233"/>
      <c r="E34" s="234" t="s">
        <v>122</v>
      </c>
      <c r="F34" s="234"/>
      <c r="G34" s="234"/>
      <c r="H34" s="234"/>
      <c r="I34" s="235"/>
      <c r="J34" s="240" t="s">
        <v>123</v>
      </c>
      <c r="K34" s="236" t="s">
        <v>124</v>
      </c>
      <c r="L34" s="237"/>
      <c r="M34" s="236"/>
      <c r="N34" s="22"/>
      <c r="O34" s="32">
        <f t="shared" si="12"/>
        <v>1</v>
      </c>
      <c r="P34" s="32">
        <f t="shared" si="4"/>
        <v>3</v>
      </c>
      <c r="Q34" s="238">
        <f>MIN(Q36:Q37)</f>
        <v>45743</v>
      </c>
      <c r="R34" s="238">
        <f>MAX(R36:R37)</f>
        <v>45747</v>
      </c>
      <c r="S34" s="22"/>
      <c r="T34" s="32">
        <f t="shared" si="17"/>
        <v>2</v>
      </c>
      <c r="U34" s="32">
        <f t="shared" si="18"/>
        <v>47</v>
      </c>
      <c r="V34" s="226">
        <f>MIN(V36:V42)</f>
        <v>45743</v>
      </c>
      <c r="W34" s="226">
        <f>MAX(W36:W42)</f>
        <v>45807</v>
      </c>
      <c r="X34" s="24"/>
      <c r="Y34" s="239">
        <f>AVERAGE(Y35:Y40)</f>
        <v>1</v>
      </c>
      <c r="Z34" s="240"/>
      <c r="AA34" s="240"/>
      <c r="AB34" s="242"/>
      <c r="AC34" s="242"/>
      <c r="AD34" s="28"/>
      <c r="AE34" s="21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30"/>
      <c r="BN34" s="11"/>
    </row>
    <row r="35" spans="1:66" ht="30" customHeight="1" outlineLevel="1">
      <c r="A35" s="243"/>
      <c r="B35" s="36" t="s">
        <v>39</v>
      </c>
      <c r="C35" s="37"/>
      <c r="D35" s="12"/>
      <c r="E35" s="35"/>
      <c r="F35" s="35" t="s">
        <v>125</v>
      </c>
      <c r="G35" s="35"/>
      <c r="H35" s="35"/>
      <c r="I35" s="38"/>
      <c r="J35" s="35" t="s">
        <v>126</v>
      </c>
      <c r="K35" s="32" t="s">
        <v>127</v>
      </c>
      <c r="L35" s="39"/>
      <c r="M35" s="32"/>
      <c r="N35" s="22"/>
      <c r="O35" s="32">
        <f t="shared" si="12"/>
        <v>1</v>
      </c>
      <c r="P35" s="32">
        <f t="shared" si="4"/>
        <v>3</v>
      </c>
      <c r="Q35" s="31">
        <f>MIN(Q36:Q37)</f>
        <v>45743</v>
      </c>
      <c r="R35" s="31">
        <f>MAX(R36:R37)</f>
        <v>45747</v>
      </c>
      <c r="S35" s="22"/>
      <c r="T35" s="32">
        <f t="shared" si="17"/>
        <v>2</v>
      </c>
      <c r="U35" s="32">
        <f t="shared" si="18"/>
        <v>47</v>
      </c>
      <c r="V35" s="31">
        <f>MIN(V36:V38)</f>
        <v>45743</v>
      </c>
      <c r="W35" s="31">
        <f>MAX(W36:W38)</f>
        <v>45807</v>
      </c>
      <c r="X35" s="24"/>
      <c r="Y35" s="239">
        <f>AVERAGE(Y36:Y37)</f>
        <v>1</v>
      </c>
      <c r="Z35" s="240"/>
      <c r="AA35" s="240"/>
      <c r="AB35" s="242"/>
      <c r="AC35" s="242"/>
      <c r="AD35" s="28"/>
      <c r="AE35" s="21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30"/>
      <c r="BN35" s="11"/>
    </row>
    <row r="36" spans="1:66" ht="30" customHeight="1" outlineLevel="1">
      <c r="A36" s="243"/>
      <c r="B36" s="36"/>
      <c r="C36" s="37" t="s">
        <v>43</v>
      </c>
      <c r="D36" s="12"/>
      <c r="E36" s="35"/>
      <c r="F36" s="35"/>
      <c r="G36" s="35" t="s">
        <v>128</v>
      </c>
      <c r="H36" s="35" t="s">
        <v>129</v>
      </c>
      <c r="I36" s="38"/>
      <c r="J36" s="35" t="s">
        <v>130</v>
      </c>
      <c r="K36" s="32" t="s">
        <v>131</v>
      </c>
      <c r="L36" s="39" t="s">
        <v>132</v>
      </c>
      <c r="M36" s="32"/>
      <c r="N36" s="22"/>
      <c r="O36" s="32">
        <f t="shared" si="12"/>
        <v>1</v>
      </c>
      <c r="P36" s="32">
        <f t="shared" si="4"/>
        <v>1</v>
      </c>
      <c r="Q36" s="31">
        <v>45747</v>
      </c>
      <c r="R36" s="31">
        <v>45747</v>
      </c>
      <c r="S36" s="22"/>
      <c r="T36" s="32">
        <f t="shared" si="17"/>
        <v>1</v>
      </c>
      <c r="U36" s="32">
        <f t="shared" si="18"/>
        <v>1</v>
      </c>
      <c r="V36" s="31">
        <v>45743</v>
      </c>
      <c r="W36" s="31">
        <v>45743</v>
      </c>
      <c r="X36" s="24"/>
      <c r="Y36" s="239">
        <v>1</v>
      </c>
      <c r="Z36" s="251" t="s">
        <v>38</v>
      </c>
      <c r="AA36" s="240"/>
      <c r="AB36" s="242"/>
      <c r="AC36" s="242"/>
      <c r="AD36" s="28"/>
      <c r="AE36" s="21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30"/>
      <c r="BN36" s="11"/>
    </row>
    <row r="37" spans="1:66" ht="30" customHeight="1" outlineLevel="1">
      <c r="A37" s="243"/>
      <c r="B37" s="36"/>
      <c r="C37" s="37" t="s">
        <v>43</v>
      </c>
      <c r="D37" s="12"/>
      <c r="E37" s="35"/>
      <c r="F37" s="35"/>
      <c r="G37" s="35" t="s">
        <v>133</v>
      </c>
      <c r="H37" s="35"/>
      <c r="I37" s="38"/>
      <c r="J37" s="35" t="s">
        <v>134</v>
      </c>
      <c r="K37" s="32" t="s">
        <v>135</v>
      </c>
      <c r="L37" s="39" t="s">
        <v>99</v>
      </c>
      <c r="M37" s="32" t="s">
        <v>136</v>
      </c>
      <c r="N37" s="22"/>
      <c r="O37" s="32">
        <f t="shared" si="12"/>
        <v>1</v>
      </c>
      <c r="P37" s="32">
        <f t="shared" si="4"/>
        <v>2</v>
      </c>
      <c r="Q37" s="31">
        <v>45743</v>
      </c>
      <c r="R37" s="31">
        <v>45744</v>
      </c>
      <c r="S37" s="22"/>
      <c r="T37" s="32">
        <f t="shared" si="17"/>
        <v>1</v>
      </c>
      <c r="U37" s="32">
        <f t="shared" si="18"/>
        <v>7</v>
      </c>
      <c r="V37" s="31">
        <v>45744</v>
      </c>
      <c r="W37" s="31">
        <v>45754</v>
      </c>
      <c r="X37" s="24"/>
      <c r="Y37" s="239">
        <v>1</v>
      </c>
      <c r="Z37" s="251"/>
      <c r="AA37" s="240"/>
      <c r="AB37" s="242"/>
      <c r="AC37" s="242"/>
      <c r="AD37" s="28"/>
      <c r="AE37" s="21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30"/>
      <c r="BN37" s="11"/>
    </row>
    <row r="38" spans="1:66" ht="30" customHeight="1" outlineLevel="1">
      <c r="A38" s="243"/>
      <c r="B38" s="36" t="s">
        <v>39</v>
      </c>
      <c r="C38" s="37"/>
      <c r="D38" s="12"/>
      <c r="E38" s="35"/>
      <c r="F38" s="35" t="s">
        <v>137</v>
      </c>
      <c r="G38" s="35"/>
      <c r="H38" s="35"/>
      <c r="I38" s="38"/>
      <c r="J38" s="35" t="s">
        <v>138</v>
      </c>
      <c r="K38" s="32" t="s">
        <v>139</v>
      </c>
      <c r="L38" s="39"/>
      <c r="M38" s="32"/>
      <c r="N38" s="22"/>
      <c r="O38" s="32">
        <f t="shared" si="12"/>
        <v>1</v>
      </c>
      <c r="P38" s="32">
        <f t="shared" si="4"/>
        <v>1</v>
      </c>
      <c r="Q38" s="31">
        <f>MIN(Q39:Q40)</f>
        <v>45745</v>
      </c>
      <c r="R38" s="31">
        <f>MAX(R39:R40)</f>
        <v>45747</v>
      </c>
      <c r="S38" s="22"/>
      <c r="T38" s="32">
        <f t="shared" ref="T38:T101" si="21">ROUNDUP(U38/30,0)</f>
        <v>2</v>
      </c>
      <c r="U38" s="32">
        <f t="shared" ref="U38:U101" si="22">NETWORKDAYS(V38,W38)</f>
        <v>45</v>
      </c>
      <c r="V38" s="31">
        <f>MIN(V39:V41)</f>
        <v>45745</v>
      </c>
      <c r="W38" s="31">
        <f>MAX(W39:W41)</f>
        <v>45807</v>
      </c>
      <c r="X38" s="24"/>
      <c r="Y38" s="239">
        <f>AVERAGE(Y39:Y40)</f>
        <v>1</v>
      </c>
      <c r="Z38" s="240"/>
      <c r="AA38" s="240"/>
      <c r="AB38" s="242"/>
      <c r="AC38" s="242"/>
      <c r="AD38" s="28"/>
      <c r="AE38" s="21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30"/>
      <c r="BN38" s="11"/>
    </row>
    <row r="39" spans="1:66" ht="30" customHeight="1" outlineLevel="1">
      <c r="A39" s="243"/>
      <c r="B39" s="36"/>
      <c r="C39" s="37" t="s">
        <v>43</v>
      </c>
      <c r="D39" s="12"/>
      <c r="E39" s="35"/>
      <c r="F39" s="35"/>
      <c r="G39" s="35" t="s">
        <v>140</v>
      </c>
      <c r="H39" s="35"/>
      <c r="I39" s="38"/>
      <c r="J39" s="35" t="s">
        <v>141</v>
      </c>
      <c r="K39" s="32" t="s">
        <v>142</v>
      </c>
      <c r="L39" s="39" t="s">
        <v>143</v>
      </c>
      <c r="M39" s="32" t="s">
        <v>99</v>
      </c>
      <c r="N39" s="22"/>
      <c r="O39" s="32">
        <f t="shared" si="12"/>
        <v>0</v>
      </c>
      <c r="P39" s="32">
        <f t="shared" si="4"/>
        <v>0</v>
      </c>
      <c r="Q39" s="31">
        <v>45745</v>
      </c>
      <c r="R39" s="31">
        <v>45746</v>
      </c>
      <c r="S39" s="22"/>
      <c r="T39" s="32">
        <f t="shared" si="21"/>
        <v>0</v>
      </c>
      <c r="U39" s="32">
        <f t="shared" si="22"/>
        <v>0</v>
      </c>
      <c r="V39" s="31">
        <v>45745</v>
      </c>
      <c r="W39" s="31">
        <v>45746</v>
      </c>
      <c r="X39" s="24"/>
      <c r="Y39" s="239">
        <v>1</v>
      </c>
      <c r="Z39" s="240" t="s">
        <v>144</v>
      </c>
      <c r="AA39" s="240"/>
      <c r="AB39" s="242"/>
      <c r="AC39" s="242"/>
      <c r="AD39" s="28"/>
      <c r="AE39" s="21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30"/>
      <c r="BN39" s="11"/>
    </row>
    <row r="40" spans="1:66" ht="30" customHeight="1" outlineLevel="1">
      <c r="A40" s="243"/>
      <c r="B40" s="36"/>
      <c r="C40" s="37" t="s">
        <v>43</v>
      </c>
      <c r="D40" s="12"/>
      <c r="E40" s="35"/>
      <c r="F40" s="35"/>
      <c r="G40" s="35" t="s">
        <v>145</v>
      </c>
      <c r="H40" s="35"/>
      <c r="I40" s="38"/>
      <c r="J40" s="35" t="s">
        <v>146</v>
      </c>
      <c r="K40" s="32" t="s">
        <v>147</v>
      </c>
      <c r="L40" s="39" t="s">
        <v>143</v>
      </c>
      <c r="M40" s="32" t="s">
        <v>148</v>
      </c>
      <c r="N40" s="22"/>
      <c r="O40" s="32">
        <f t="shared" si="12"/>
        <v>1</v>
      </c>
      <c r="P40" s="32">
        <f t="shared" si="4"/>
        <v>1</v>
      </c>
      <c r="Q40" s="31">
        <v>45746</v>
      </c>
      <c r="R40" s="31">
        <v>45747</v>
      </c>
      <c r="S40" s="22"/>
      <c r="T40" s="32">
        <f t="shared" si="21"/>
        <v>1</v>
      </c>
      <c r="U40" s="32">
        <f t="shared" si="22"/>
        <v>1</v>
      </c>
      <c r="V40" s="31">
        <v>45745</v>
      </c>
      <c r="W40" s="31">
        <v>45747</v>
      </c>
      <c r="X40" s="24"/>
      <c r="Y40" s="239">
        <v>1</v>
      </c>
      <c r="Z40" s="240" t="s">
        <v>149</v>
      </c>
      <c r="AA40" s="240"/>
      <c r="AB40" s="242"/>
      <c r="AC40" s="242"/>
      <c r="AD40" s="28"/>
      <c r="AE40" s="21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30"/>
      <c r="BN40" s="11"/>
    </row>
    <row r="41" spans="1:66" ht="15" customHeight="1" outlineLevel="1">
      <c r="A41" s="243" t="s">
        <v>34</v>
      </c>
      <c r="B41" s="36"/>
      <c r="C41" s="37"/>
      <c r="D41" s="12"/>
      <c r="E41" s="35" t="s">
        <v>150</v>
      </c>
      <c r="F41" s="35"/>
      <c r="G41" s="35"/>
      <c r="H41" s="35"/>
      <c r="I41" s="38"/>
      <c r="J41" s="35" t="s">
        <v>151</v>
      </c>
      <c r="K41" s="32" t="s">
        <v>152</v>
      </c>
      <c r="L41" s="39"/>
      <c r="M41" s="32"/>
      <c r="N41" s="22"/>
      <c r="O41" s="32">
        <f t="shared" si="12"/>
        <v>1</v>
      </c>
      <c r="P41" s="32">
        <f t="shared" si="4"/>
        <v>12</v>
      </c>
      <c r="Q41" s="44">
        <f>MIN(Q43:Q44)</f>
        <v>45748</v>
      </c>
      <c r="R41" s="44">
        <f>MAX(R43:R45)</f>
        <v>45763</v>
      </c>
      <c r="S41" s="22"/>
      <c r="T41" s="32">
        <f t="shared" si="21"/>
        <v>2</v>
      </c>
      <c r="U41" s="32">
        <f t="shared" si="22"/>
        <v>43</v>
      </c>
      <c r="V41" s="226">
        <f>MIN(V43:V49)</f>
        <v>45749</v>
      </c>
      <c r="W41" s="226">
        <f>MAX(W43:W49)</f>
        <v>45807</v>
      </c>
      <c r="X41" s="24"/>
      <c r="Y41" s="239">
        <f>AVERAGE(Y42:Y45)</f>
        <v>1</v>
      </c>
      <c r="Z41" s="240"/>
      <c r="AA41" s="240"/>
      <c r="AB41" s="242"/>
      <c r="AC41" s="242"/>
      <c r="AD41" s="28"/>
      <c r="AE41" s="21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30"/>
      <c r="BN41" s="11"/>
    </row>
    <row r="42" spans="1:66" ht="15" customHeight="1" outlineLevel="1">
      <c r="A42" s="243"/>
      <c r="B42" s="36" t="s">
        <v>39</v>
      </c>
      <c r="C42" s="37"/>
      <c r="D42" s="12"/>
      <c r="E42" s="35"/>
      <c r="F42" s="35" t="s">
        <v>153</v>
      </c>
      <c r="G42" s="35"/>
      <c r="H42" s="35"/>
      <c r="I42" s="38"/>
      <c r="J42" s="35" t="s">
        <v>154</v>
      </c>
      <c r="K42" s="32" t="s">
        <v>155</v>
      </c>
      <c r="L42" s="39"/>
      <c r="M42" s="32"/>
      <c r="N42" s="22"/>
      <c r="O42" s="32">
        <f t="shared" si="12"/>
        <v>1</v>
      </c>
      <c r="P42" s="32">
        <f t="shared" si="4"/>
        <v>9</v>
      </c>
      <c r="Q42" s="31">
        <f>MIN(Q43:Q44)</f>
        <v>45748</v>
      </c>
      <c r="R42" s="31">
        <f>MAX(R43:R44)</f>
        <v>45759</v>
      </c>
      <c r="S42" s="22"/>
      <c r="T42" s="32">
        <f t="shared" si="21"/>
        <v>1</v>
      </c>
      <c r="U42" s="32">
        <f t="shared" si="22"/>
        <v>14</v>
      </c>
      <c r="V42" s="31">
        <f>MIN(V43:V45)</f>
        <v>45749</v>
      </c>
      <c r="W42" s="31">
        <f>MAX(W43:W45)</f>
        <v>45768</v>
      </c>
      <c r="X42" s="24"/>
      <c r="Y42" s="239">
        <f>AVERAGE(Y43:Y45)</f>
        <v>1</v>
      </c>
      <c r="Z42" s="240"/>
      <c r="AA42" s="240"/>
      <c r="AB42" s="242"/>
      <c r="AC42" s="242"/>
      <c r="AD42" s="28"/>
      <c r="AE42" s="21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30"/>
      <c r="BN42" s="11"/>
    </row>
    <row r="43" spans="1:66" ht="15" customHeight="1" outlineLevel="1">
      <c r="A43" s="243"/>
      <c r="B43" s="36"/>
      <c r="C43" s="37" t="s">
        <v>43</v>
      </c>
      <c r="D43" s="12"/>
      <c r="E43" s="35"/>
      <c r="G43" s="35" t="s">
        <v>156</v>
      </c>
      <c r="H43" s="35"/>
      <c r="I43" s="38"/>
      <c r="J43" s="35" t="s">
        <v>157</v>
      </c>
      <c r="K43" s="32" t="s">
        <v>158</v>
      </c>
      <c r="L43" s="39" t="s">
        <v>159</v>
      </c>
      <c r="M43" s="32" t="s">
        <v>160</v>
      </c>
      <c r="N43" s="22"/>
      <c r="O43" s="32">
        <f t="shared" si="12"/>
        <v>1</v>
      </c>
      <c r="P43" s="32">
        <f t="shared" si="4"/>
        <v>2</v>
      </c>
      <c r="Q43" s="31">
        <v>45748</v>
      </c>
      <c r="R43" s="31">
        <v>45749</v>
      </c>
      <c r="S43" s="22"/>
      <c r="T43" s="32">
        <f t="shared" si="21"/>
        <v>1</v>
      </c>
      <c r="U43" s="32">
        <f t="shared" si="22"/>
        <v>1</v>
      </c>
      <c r="V43" s="31">
        <v>45749</v>
      </c>
      <c r="W43" s="31">
        <v>45749</v>
      </c>
      <c r="X43" s="24"/>
      <c r="Y43" s="239">
        <v>1</v>
      </c>
      <c r="Z43" s="240" t="s">
        <v>161</v>
      </c>
      <c r="AA43" s="240"/>
      <c r="AB43" s="242"/>
      <c r="AC43" s="242"/>
      <c r="AD43" s="28"/>
      <c r="AE43" s="21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30"/>
      <c r="BN43" s="11"/>
    </row>
    <row r="44" spans="1:66" ht="15" customHeight="1" outlineLevel="1">
      <c r="A44" s="243"/>
      <c r="B44" s="36"/>
      <c r="C44" s="37" t="s">
        <v>43</v>
      </c>
      <c r="D44" s="12"/>
      <c r="E44" s="35"/>
      <c r="F44" s="35"/>
      <c r="G44" s="35" t="s">
        <v>162</v>
      </c>
      <c r="H44" s="35"/>
      <c r="I44" s="38"/>
      <c r="J44" s="35" t="s">
        <v>163</v>
      </c>
      <c r="K44" s="32" t="s">
        <v>164</v>
      </c>
      <c r="L44" s="39" t="s">
        <v>159</v>
      </c>
      <c r="M44" s="32" t="s">
        <v>160</v>
      </c>
      <c r="N44" s="22"/>
      <c r="O44" s="32">
        <f t="shared" si="12"/>
        <v>1</v>
      </c>
      <c r="P44" s="32">
        <f t="shared" si="4"/>
        <v>7</v>
      </c>
      <c r="Q44" s="31">
        <v>45750</v>
      </c>
      <c r="R44" s="31">
        <v>45759</v>
      </c>
      <c r="S44" s="22"/>
      <c r="T44" s="32">
        <f t="shared" si="21"/>
        <v>1</v>
      </c>
      <c r="U44" s="32">
        <f>NETWORKDAYS(MIN(V44,W44),MAX(V44,W44))</f>
        <v>8</v>
      </c>
      <c r="V44" s="31">
        <v>45750</v>
      </c>
      <c r="W44" s="31">
        <v>45761</v>
      </c>
      <c r="X44" s="24"/>
      <c r="Y44" s="239">
        <v>1</v>
      </c>
      <c r="Z44" s="240" t="s">
        <v>165</v>
      </c>
      <c r="AA44" s="240"/>
      <c r="AB44" s="242"/>
      <c r="AC44" s="242"/>
      <c r="AD44" s="28"/>
      <c r="AE44" s="21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30"/>
      <c r="BN44" s="11"/>
    </row>
    <row r="45" spans="1:66" ht="15" customHeight="1" outlineLevel="1">
      <c r="A45" s="243"/>
      <c r="B45" s="36"/>
      <c r="C45" s="37" t="s">
        <v>43</v>
      </c>
      <c r="D45" s="12"/>
      <c r="E45" s="35"/>
      <c r="F45" s="35"/>
      <c r="G45" s="35" t="s">
        <v>166</v>
      </c>
      <c r="H45" s="35"/>
      <c r="I45" s="38"/>
      <c r="J45" s="35" t="s">
        <v>119</v>
      </c>
      <c r="K45" s="32" t="s">
        <v>167</v>
      </c>
      <c r="L45" s="39" t="s">
        <v>159</v>
      </c>
      <c r="M45" s="32" t="s">
        <v>160</v>
      </c>
      <c r="N45" s="22"/>
      <c r="O45" s="32">
        <f t="shared" si="12"/>
        <v>1</v>
      </c>
      <c r="P45" s="32">
        <f t="shared" si="4"/>
        <v>3</v>
      </c>
      <c r="Q45" s="31">
        <v>45761</v>
      </c>
      <c r="R45" s="31">
        <v>45763</v>
      </c>
      <c r="S45" s="22"/>
      <c r="T45" s="32">
        <f t="shared" si="21"/>
        <v>1</v>
      </c>
      <c r="U45" s="32">
        <f t="shared" si="22"/>
        <v>6</v>
      </c>
      <c r="V45" s="31">
        <v>45761</v>
      </c>
      <c r="W45" s="31">
        <v>45768</v>
      </c>
      <c r="X45" s="24"/>
      <c r="Y45" s="239">
        <v>1</v>
      </c>
      <c r="Z45" s="240" t="s">
        <v>168</v>
      </c>
      <c r="AA45" s="240"/>
      <c r="AB45" s="242"/>
      <c r="AC45" s="242"/>
      <c r="AD45" s="28"/>
      <c r="AE45" s="21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30"/>
      <c r="BN45" s="11"/>
    </row>
    <row r="46" spans="1:66" ht="30" customHeight="1">
      <c r="A46" s="207"/>
      <c r="B46" s="208"/>
      <c r="C46" s="209"/>
      <c r="D46" s="210" t="s">
        <v>169</v>
      </c>
      <c r="E46" s="208"/>
      <c r="F46" s="208"/>
      <c r="G46" s="208"/>
      <c r="H46" s="208"/>
      <c r="I46" s="212"/>
      <c r="J46" s="213"/>
      <c r="K46" s="213"/>
      <c r="L46" s="213"/>
      <c r="M46" s="213"/>
      <c r="N46" s="22"/>
      <c r="O46" s="32">
        <f t="shared" si="12"/>
        <v>2</v>
      </c>
      <c r="P46" s="400">
        <f>IF(Q46=0,"",R46-Q46)</f>
        <v>60</v>
      </c>
      <c r="Q46" s="246">
        <f>MIN(Q47)</f>
        <v>45755</v>
      </c>
      <c r="R46" s="246">
        <f>MAX(R47)</f>
        <v>45815</v>
      </c>
      <c r="S46" s="216"/>
      <c r="T46" s="32">
        <f t="shared" si="21"/>
        <v>2</v>
      </c>
      <c r="U46" s="32">
        <f>NETWORKDAYS(MIN(V46,W46),MAX(V46,W46))</f>
        <v>40</v>
      </c>
      <c r="V46" s="238">
        <f>MIN(V47)</f>
        <v>45754</v>
      </c>
      <c r="W46" s="238">
        <f>MAX(W47)</f>
        <v>45807</v>
      </c>
      <c r="X46" s="24"/>
      <c r="Y46" s="217">
        <f>AVERAGE(Y47,Y54,Y59,Y64)</f>
        <v>1</v>
      </c>
      <c r="Z46" s="227"/>
      <c r="AA46" s="227"/>
      <c r="AB46" s="228"/>
      <c r="AC46" s="228"/>
      <c r="AD46" s="28"/>
      <c r="AE46" s="219" t="str">
        <f t="shared" ref="AE46:BM46" si="23">IFERROR(IF(AND($Q46&gt;=(EOMONTH(AE$8,-1)+1),$R46&lt;AF$8,$I46="M"),"u",""),"")</f>
        <v/>
      </c>
      <c r="AF46" s="29" t="str">
        <f t="shared" si="23"/>
        <v/>
      </c>
      <c r="AG46" s="29" t="str">
        <f t="shared" si="23"/>
        <v/>
      </c>
      <c r="AH46" s="29" t="str">
        <f t="shared" si="23"/>
        <v/>
      </c>
      <c r="AI46" s="29" t="str">
        <f t="shared" si="23"/>
        <v/>
      </c>
      <c r="AJ46" s="29" t="str">
        <f t="shared" si="23"/>
        <v/>
      </c>
      <c r="AK46" s="29" t="str">
        <f t="shared" si="23"/>
        <v/>
      </c>
      <c r="AL46" s="29" t="str">
        <f t="shared" si="23"/>
        <v/>
      </c>
      <c r="AM46" s="29" t="str">
        <f t="shared" si="23"/>
        <v/>
      </c>
      <c r="AN46" s="29" t="str">
        <f t="shared" si="23"/>
        <v/>
      </c>
      <c r="AO46" s="29" t="str">
        <f t="shared" si="23"/>
        <v/>
      </c>
      <c r="AP46" s="29" t="str">
        <f t="shared" si="23"/>
        <v/>
      </c>
      <c r="AQ46" s="29" t="str">
        <f t="shared" si="23"/>
        <v/>
      </c>
      <c r="AR46" s="29" t="str">
        <f t="shared" si="23"/>
        <v/>
      </c>
      <c r="AS46" s="29" t="str">
        <f t="shared" si="23"/>
        <v/>
      </c>
      <c r="AT46" s="29" t="str">
        <f t="shared" si="23"/>
        <v/>
      </c>
      <c r="AU46" s="29" t="str">
        <f t="shared" si="23"/>
        <v/>
      </c>
      <c r="AV46" s="29" t="str">
        <f t="shared" si="23"/>
        <v/>
      </c>
      <c r="AW46" s="29" t="str">
        <f t="shared" si="23"/>
        <v/>
      </c>
      <c r="AX46" s="29" t="str">
        <f t="shared" si="23"/>
        <v/>
      </c>
      <c r="AY46" s="29" t="str">
        <f t="shared" si="23"/>
        <v/>
      </c>
      <c r="AZ46" s="29" t="str">
        <f t="shared" si="23"/>
        <v/>
      </c>
      <c r="BA46" s="29" t="str">
        <f t="shared" si="23"/>
        <v/>
      </c>
      <c r="BB46" s="29" t="str">
        <f t="shared" si="23"/>
        <v/>
      </c>
      <c r="BC46" s="29" t="str">
        <f t="shared" si="23"/>
        <v/>
      </c>
      <c r="BD46" s="29" t="str">
        <f t="shared" si="23"/>
        <v/>
      </c>
      <c r="BE46" s="29" t="str">
        <f t="shared" si="23"/>
        <v/>
      </c>
      <c r="BF46" s="29" t="str">
        <f t="shared" si="23"/>
        <v/>
      </c>
      <c r="BG46" s="29" t="str">
        <f t="shared" si="23"/>
        <v/>
      </c>
      <c r="BH46" s="29" t="str">
        <f t="shared" si="23"/>
        <v/>
      </c>
      <c r="BI46" s="29" t="str">
        <f t="shared" si="23"/>
        <v/>
      </c>
      <c r="BJ46" s="29" t="str">
        <f t="shared" si="23"/>
        <v/>
      </c>
      <c r="BK46" s="29" t="str">
        <f t="shared" si="23"/>
        <v/>
      </c>
      <c r="BL46" s="29" t="str">
        <f t="shared" si="23"/>
        <v/>
      </c>
      <c r="BM46" s="30" t="str">
        <f t="shared" si="23"/>
        <v/>
      </c>
      <c r="BN46" s="11" t="s">
        <v>0</v>
      </c>
    </row>
    <row r="47" spans="1:66" ht="30" customHeight="1">
      <c r="A47" s="230" t="s">
        <v>34</v>
      </c>
      <c r="B47" s="231"/>
      <c r="C47" s="232"/>
      <c r="D47" s="233"/>
      <c r="E47" s="234" t="s">
        <v>170</v>
      </c>
      <c r="F47" s="234"/>
      <c r="G47" s="234"/>
      <c r="H47" s="234"/>
      <c r="I47" s="235"/>
      <c r="J47" s="240" t="s">
        <v>171</v>
      </c>
      <c r="K47" s="236" t="s">
        <v>172</v>
      </c>
      <c r="L47" s="237"/>
      <c r="M47" s="236"/>
      <c r="N47" s="22"/>
      <c r="O47" s="32">
        <f t="shared" si="12"/>
        <v>2</v>
      </c>
      <c r="P47" s="32">
        <f t="shared" ref="P47:P69" si="24">NETWORKDAYS(Q47,R47)</f>
        <v>44</v>
      </c>
      <c r="Q47" s="238">
        <f>MIN(Q49:Q69)</f>
        <v>45755</v>
      </c>
      <c r="R47" s="238">
        <f>MAX(R49:R69)</f>
        <v>45815</v>
      </c>
      <c r="S47" s="22"/>
      <c r="T47" s="32">
        <f>ROUNDUP(U47/30,0)</f>
        <v>2</v>
      </c>
      <c r="U47" s="32">
        <f>NETWORKDAYS(MIN(V47,W47),MAX(V47,W47))</f>
        <v>40</v>
      </c>
      <c r="V47" s="238">
        <f>MIN(V49:V69)</f>
        <v>45754</v>
      </c>
      <c r="W47" s="238">
        <f>MAX(W49:W69)</f>
        <v>45807</v>
      </c>
      <c r="X47" s="24"/>
      <c r="Y47" s="239">
        <f>AVERAGE(Y49:Y53)</f>
        <v>1</v>
      </c>
      <c r="Z47" s="240"/>
      <c r="AA47" s="240"/>
      <c r="AB47" s="242"/>
      <c r="AC47" s="242"/>
      <c r="AD47" s="28"/>
      <c r="AE47" s="219" t="str">
        <f t="shared" ref="AE47:BM47" si="25">IFERROR(IF(AND($Q47&gt;=(EOMONTH(AE$8,-1)+1),$R47&lt;AF$8,$I47="M"),"u",""),"")</f>
        <v/>
      </c>
      <c r="AF47" s="29" t="str">
        <f t="shared" si="25"/>
        <v/>
      </c>
      <c r="AG47" s="29" t="str">
        <f t="shared" si="25"/>
        <v/>
      </c>
      <c r="AH47" s="29" t="str">
        <f t="shared" si="25"/>
        <v/>
      </c>
      <c r="AI47" s="29" t="str">
        <f t="shared" si="25"/>
        <v/>
      </c>
      <c r="AJ47" s="29" t="str">
        <f t="shared" si="25"/>
        <v/>
      </c>
      <c r="AK47" s="29" t="str">
        <f t="shared" si="25"/>
        <v/>
      </c>
      <c r="AL47" s="29" t="str">
        <f t="shared" si="25"/>
        <v/>
      </c>
      <c r="AM47" s="29" t="str">
        <f t="shared" si="25"/>
        <v/>
      </c>
      <c r="AN47" s="29" t="str">
        <f t="shared" si="25"/>
        <v/>
      </c>
      <c r="AO47" s="29" t="str">
        <f t="shared" si="25"/>
        <v/>
      </c>
      <c r="AP47" s="29" t="str">
        <f t="shared" si="25"/>
        <v/>
      </c>
      <c r="AQ47" s="29" t="str">
        <f t="shared" si="25"/>
        <v/>
      </c>
      <c r="AR47" s="29" t="str">
        <f t="shared" si="25"/>
        <v/>
      </c>
      <c r="AS47" s="29" t="str">
        <f t="shared" si="25"/>
        <v/>
      </c>
      <c r="AT47" s="29" t="str">
        <f t="shared" si="25"/>
        <v/>
      </c>
      <c r="AU47" s="29" t="str">
        <f t="shared" si="25"/>
        <v/>
      </c>
      <c r="AV47" s="29" t="str">
        <f t="shared" si="25"/>
        <v/>
      </c>
      <c r="AW47" s="29" t="str">
        <f t="shared" si="25"/>
        <v/>
      </c>
      <c r="AX47" s="29" t="str">
        <f t="shared" si="25"/>
        <v/>
      </c>
      <c r="AY47" s="29" t="str">
        <f t="shared" si="25"/>
        <v/>
      </c>
      <c r="AZ47" s="29" t="str">
        <f t="shared" si="25"/>
        <v/>
      </c>
      <c r="BA47" s="29" t="str">
        <f t="shared" si="25"/>
        <v/>
      </c>
      <c r="BB47" s="29" t="str">
        <f t="shared" si="25"/>
        <v/>
      </c>
      <c r="BC47" s="29" t="str">
        <f t="shared" si="25"/>
        <v/>
      </c>
      <c r="BD47" s="29" t="str">
        <f t="shared" si="25"/>
        <v/>
      </c>
      <c r="BE47" s="29" t="str">
        <f t="shared" si="25"/>
        <v/>
      </c>
      <c r="BF47" s="29" t="str">
        <f t="shared" si="25"/>
        <v/>
      </c>
      <c r="BG47" s="29" t="str">
        <f t="shared" si="25"/>
        <v/>
      </c>
      <c r="BH47" s="29" t="str">
        <f t="shared" si="25"/>
        <v/>
      </c>
      <c r="BI47" s="29" t="str">
        <f t="shared" si="25"/>
        <v/>
      </c>
      <c r="BJ47" s="29" t="str">
        <f t="shared" si="25"/>
        <v/>
      </c>
      <c r="BK47" s="29" t="str">
        <f t="shared" si="25"/>
        <v/>
      </c>
      <c r="BL47" s="29" t="str">
        <f t="shared" si="25"/>
        <v/>
      </c>
      <c r="BM47" s="30" t="str">
        <f t="shared" si="25"/>
        <v/>
      </c>
      <c r="BN47" s="11" t="s">
        <v>0</v>
      </c>
    </row>
    <row r="48" spans="1:66" ht="30" customHeight="1" outlineLevel="1">
      <c r="A48" s="230"/>
      <c r="B48" s="231" t="s">
        <v>39</v>
      </c>
      <c r="C48" s="232"/>
      <c r="D48" s="233"/>
      <c r="E48" s="234"/>
      <c r="F48" s="234" t="s">
        <v>173</v>
      </c>
      <c r="G48" s="234"/>
      <c r="H48" s="234"/>
      <c r="I48" s="235"/>
      <c r="J48" s="240" t="s">
        <v>174</v>
      </c>
      <c r="K48" s="236" t="s">
        <v>175</v>
      </c>
      <c r="L48" s="237"/>
      <c r="M48" s="236"/>
      <c r="N48" s="22"/>
      <c r="O48" s="32">
        <f t="shared" si="12"/>
        <v>1</v>
      </c>
      <c r="P48" s="32">
        <f t="shared" si="24"/>
        <v>11</v>
      </c>
      <c r="Q48" s="238">
        <f>MIN(Q49:Q53)</f>
        <v>45755</v>
      </c>
      <c r="R48" s="238">
        <f>MAX(R49:R53)</f>
        <v>45769</v>
      </c>
      <c r="S48" s="22"/>
      <c r="T48" s="32">
        <f>ROUNDUP(U47/30,0)</f>
        <v>2</v>
      </c>
      <c r="U48" s="32">
        <f t="shared" ref="U48:U111" si="26">NETWORKDAYS(MIN(V48,W48),MAX(V48,W48))</f>
        <v>6</v>
      </c>
      <c r="V48" s="31">
        <f>MIN(V49:V51)</f>
        <v>45754</v>
      </c>
      <c r="W48" s="31">
        <f>MAX(W49:W51)</f>
        <v>45761</v>
      </c>
      <c r="X48" s="24"/>
      <c r="Y48" s="239">
        <f>AVERAGE(Y49:Y53)</f>
        <v>1</v>
      </c>
      <c r="Z48" s="240"/>
      <c r="AA48" s="240"/>
      <c r="AB48" s="242"/>
      <c r="AC48" s="242"/>
      <c r="AD48" s="28"/>
      <c r="AE48" s="219" t="str">
        <f t="shared" ref="AE48:BM48" si="27">IFERROR(IF(AND($Q48&gt;=(EOMONTH(AE$8,-1)+1),$R48&lt;AF$8,$I48="M"),"u",""),"")</f>
        <v/>
      </c>
      <c r="AF48" s="29" t="str">
        <f t="shared" si="27"/>
        <v/>
      </c>
      <c r="AG48" s="29" t="str">
        <f t="shared" si="27"/>
        <v/>
      </c>
      <c r="AH48" s="29" t="str">
        <f t="shared" si="27"/>
        <v/>
      </c>
      <c r="AI48" s="29" t="str">
        <f t="shared" si="27"/>
        <v/>
      </c>
      <c r="AJ48" s="29" t="str">
        <f t="shared" si="27"/>
        <v/>
      </c>
      <c r="AK48" s="29" t="str">
        <f t="shared" si="27"/>
        <v/>
      </c>
      <c r="AL48" s="29" t="str">
        <f t="shared" si="27"/>
        <v/>
      </c>
      <c r="AM48" s="29" t="str">
        <f t="shared" si="27"/>
        <v/>
      </c>
      <c r="AN48" s="29" t="str">
        <f t="shared" si="27"/>
        <v/>
      </c>
      <c r="AO48" s="29" t="str">
        <f t="shared" si="27"/>
        <v/>
      </c>
      <c r="AP48" s="29" t="str">
        <f t="shared" si="27"/>
        <v/>
      </c>
      <c r="AQ48" s="29" t="str">
        <f t="shared" si="27"/>
        <v/>
      </c>
      <c r="AR48" s="29" t="str">
        <f t="shared" si="27"/>
        <v/>
      </c>
      <c r="AS48" s="29" t="str">
        <f t="shared" si="27"/>
        <v/>
      </c>
      <c r="AT48" s="29" t="str">
        <f t="shared" si="27"/>
        <v/>
      </c>
      <c r="AU48" s="29" t="str">
        <f t="shared" si="27"/>
        <v/>
      </c>
      <c r="AV48" s="29" t="str">
        <f t="shared" si="27"/>
        <v/>
      </c>
      <c r="AW48" s="29" t="str">
        <f t="shared" si="27"/>
        <v/>
      </c>
      <c r="AX48" s="29" t="str">
        <f t="shared" si="27"/>
        <v/>
      </c>
      <c r="AY48" s="29" t="str">
        <f t="shared" si="27"/>
        <v/>
      </c>
      <c r="AZ48" s="29" t="str">
        <f t="shared" si="27"/>
        <v/>
      </c>
      <c r="BA48" s="29" t="str">
        <f t="shared" si="27"/>
        <v/>
      </c>
      <c r="BB48" s="29" t="str">
        <f t="shared" si="27"/>
        <v/>
      </c>
      <c r="BC48" s="29" t="str">
        <f t="shared" si="27"/>
        <v/>
      </c>
      <c r="BD48" s="29" t="str">
        <f t="shared" si="27"/>
        <v/>
      </c>
      <c r="BE48" s="29" t="str">
        <f t="shared" si="27"/>
        <v/>
      </c>
      <c r="BF48" s="29" t="str">
        <f t="shared" si="27"/>
        <v/>
      </c>
      <c r="BG48" s="29" t="str">
        <f t="shared" si="27"/>
        <v/>
      </c>
      <c r="BH48" s="29" t="str">
        <f t="shared" si="27"/>
        <v/>
      </c>
      <c r="BI48" s="29" t="str">
        <f t="shared" si="27"/>
        <v/>
      </c>
      <c r="BJ48" s="29" t="str">
        <f t="shared" si="27"/>
        <v/>
      </c>
      <c r="BK48" s="29" t="str">
        <f t="shared" si="27"/>
        <v/>
      </c>
      <c r="BL48" s="29" t="str">
        <f t="shared" si="27"/>
        <v/>
      </c>
      <c r="BM48" s="30" t="str">
        <f t="shared" si="27"/>
        <v/>
      </c>
      <c r="BN48" s="11"/>
    </row>
    <row r="49" spans="1:66" ht="30" customHeight="1" outlineLevel="2">
      <c r="A49" s="243"/>
      <c r="B49" s="36"/>
      <c r="C49" s="37" t="s">
        <v>43</v>
      </c>
      <c r="D49" s="12"/>
      <c r="E49" s="35"/>
      <c r="F49" s="35"/>
      <c r="G49" s="35" t="s">
        <v>176</v>
      </c>
      <c r="H49" s="35"/>
      <c r="I49" s="38"/>
      <c r="J49" s="35" t="s">
        <v>177</v>
      </c>
      <c r="K49" s="32" t="s">
        <v>178</v>
      </c>
      <c r="L49" s="39" t="s">
        <v>179</v>
      </c>
      <c r="M49" s="32" t="s">
        <v>99</v>
      </c>
      <c r="N49" s="22"/>
      <c r="O49" s="32">
        <f t="shared" si="12"/>
        <v>1</v>
      </c>
      <c r="P49" s="32">
        <f t="shared" si="24"/>
        <v>3</v>
      </c>
      <c r="Q49" s="31">
        <v>45755</v>
      </c>
      <c r="R49" s="31">
        <v>45757</v>
      </c>
      <c r="S49" s="22"/>
      <c r="T49" s="32">
        <f>ROUNDUP(U49/30,0)</f>
        <v>1</v>
      </c>
      <c r="U49" s="32">
        <f t="shared" si="26"/>
        <v>4</v>
      </c>
      <c r="V49" s="31">
        <v>45754</v>
      </c>
      <c r="W49" s="31">
        <v>45757</v>
      </c>
      <c r="X49" s="24"/>
      <c r="Y49" s="239">
        <v>1</v>
      </c>
      <c r="Z49" s="240" t="s">
        <v>161</v>
      </c>
      <c r="AA49" s="240"/>
      <c r="AB49" s="242"/>
      <c r="AC49" s="242"/>
      <c r="AD49" s="28"/>
      <c r="AE49" s="219" t="str">
        <f t="shared" ref="AE49:BM49" si="28">IFERROR(IF(AND($Q49&gt;=(EOMONTH(AE$8,-1)+1),$R49&lt;AF$8,$I49="M"),"u",""),"")</f>
        <v/>
      </c>
      <c r="AF49" s="29" t="str">
        <f t="shared" si="28"/>
        <v/>
      </c>
      <c r="AG49" s="29" t="str">
        <f t="shared" si="28"/>
        <v/>
      </c>
      <c r="AH49" s="29" t="str">
        <f t="shared" si="28"/>
        <v/>
      </c>
      <c r="AI49" s="29" t="str">
        <f t="shared" si="28"/>
        <v/>
      </c>
      <c r="AJ49" s="29" t="str">
        <f t="shared" si="28"/>
        <v/>
      </c>
      <c r="AK49" s="29" t="str">
        <f t="shared" si="28"/>
        <v/>
      </c>
      <c r="AL49" s="29" t="str">
        <f t="shared" si="28"/>
        <v/>
      </c>
      <c r="AM49" s="29" t="str">
        <f t="shared" si="28"/>
        <v/>
      </c>
      <c r="AN49" s="29" t="str">
        <f t="shared" si="28"/>
        <v/>
      </c>
      <c r="AO49" s="29" t="str">
        <f t="shared" si="28"/>
        <v/>
      </c>
      <c r="AP49" s="29" t="str">
        <f t="shared" si="28"/>
        <v/>
      </c>
      <c r="AQ49" s="29" t="str">
        <f t="shared" si="28"/>
        <v/>
      </c>
      <c r="AR49" s="29" t="str">
        <f t="shared" si="28"/>
        <v/>
      </c>
      <c r="AS49" s="29" t="str">
        <f t="shared" si="28"/>
        <v/>
      </c>
      <c r="AT49" s="29" t="str">
        <f t="shared" si="28"/>
        <v/>
      </c>
      <c r="AU49" s="29" t="str">
        <f t="shared" si="28"/>
        <v/>
      </c>
      <c r="AV49" s="29" t="str">
        <f t="shared" si="28"/>
        <v/>
      </c>
      <c r="AW49" s="29" t="str">
        <f t="shared" si="28"/>
        <v/>
      </c>
      <c r="AX49" s="29" t="str">
        <f t="shared" si="28"/>
        <v/>
      </c>
      <c r="AY49" s="29" t="str">
        <f t="shared" si="28"/>
        <v/>
      </c>
      <c r="AZ49" s="29" t="str">
        <f t="shared" si="28"/>
        <v/>
      </c>
      <c r="BA49" s="29" t="str">
        <f t="shared" si="28"/>
        <v/>
      </c>
      <c r="BB49" s="29" t="str">
        <f t="shared" si="28"/>
        <v/>
      </c>
      <c r="BC49" s="29" t="str">
        <f t="shared" si="28"/>
        <v/>
      </c>
      <c r="BD49" s="29" t="str">
        <f t="shared" si="28"/>
        <v/>
      </c>
      <c r="BE49" s="29" t="str">
        <f t="shared" si="28"/>
        <v/>
      </c>
      <c r="BF49" s="29" t="str">
        <f t="shared" si="28"/>
        <v/>
      </c>
      <c r="BG49" s="29" t="str">
        <f t="shared" si="28"/>
        <v/>
      </c>
      <c r="BH49" s="29" t="str">
        <f t="shared" si="28"/>
        <v/>
      </c>
      <c r="BI49" s="29" t="str">
        <f t="shared" si="28"/>
        <v/>
      </c>
      <c r="BJ49" s="29" t="str">
        <f t="shared" si="28"/>
        <v/>
      </c>
      <c r="BK49" s="29" t="str">
        <f t="shared" si="28"/>
        <v/>
      </c>
      <c r="BL49" s="29" t="str">
        <f t="shared" si="28"/>
        <v/>
      </c>
      <c r="BM49" s="30" t="str">
        <f t="shared" si="28"/>
        <v/>
      </c>
      <c r="BN49" s="11"/>
    </row>
    <row r="50" spans="1:66" ht="30" customHeight="1" outlineLevel="2">
      <c r="A50" s="243"/>
      <c r="B50" s="36"/>
      <c r="C50" s="37" t="s">
        <v>43</v>
      </c>
      <c r="D50" s="12"/>
      <c r="E50" s="35"/>
      <c r="F50" s="35"/>
      <c r="G50" s="35" t="s">
        <v>180</v>
      </c>
      <c r="H50" s="35"/>
      <c r="I50" s="38"/>
      <c r="J50" s="35" t="s">
        <v>181</v>
      </c>
      <c r="K50" s="32" t="s">
        <v>182</v>
      </c>
      <c r="L50" s="39" t="s">
        <v>179</v>
      </c>
      <c r="M50" s="32" t="s">
        <v>143</v>
      </c>
      <c r="N50" s="22"/>
      <c r="O50" s="32">
        <f t="shared" si="12"/>
        <v>1</v>
      </c>
      <c r="P50" s="32">
        <f t="shared" si="24"/>
        <v>1</v>
      </c>
      <c r="Q50" s="31">
        <v>45758</v>
      </c>
      <c r="R50" s="31">
        <v>45759</v>
      </c>
      <c r="S50" s="22"/>
      <c r="T50" s="32">
        <f t="shared" si="21"/>
        <v>1</v>
      </c>
      <c r="U50" s="32">
        <f t="shared" si="26"/>
        <v>1</v>
      </c>
      <c r="V50" s="31">
        <v>45758</v>
      </c>
      <c r="W50" s="31">
        <v>45759</v>
      </c>
      <c r="X50" s="24"/>
      <c r="Y50" s="239">
        <v>1</v>
      </c>
      <c r="Z50" s="240" t="s">
        <v>183</v>
      </c>
      <c r="AA50" s="240"/>
      <c r="AB50" s="242"/>
      <c r="AC50" s="242"/>
      <c r="AD50" s="28"/>
      <c r="AE50" s="219" t="str">
        <f t="shared" ref="AE50:BM50" si="29">IFERROR(IF(AND($Q50&gt;=(EOMONTH(AE$8,-1)+1),$R50&lt;AF$8,$I50="M"),"u",""),"")</f>
        <v/>
      </c>
      <c r="AF50" s="29" t="str">
        <f t="shared" si="29"/>
        <v/>
      </c>
      <c r="AG50" s="29" t="str">
        <f t="shared" si="29"/>
        <v/>
      </c>
      <c r="AH50" s="29" t="str">
        <f t="shared" si="29"/>
        <v/>
      </c>
      <c r="AI50" s="29" t="str">
        <f t="shared" si="29"/>
        <v/>
      </c>
      <c r="AJ50" s="29" t="str">
        <f t="shared" si="29"/>
        <v/>
      </c>
      <c r="AK50" s="29" t="str">
        <f t="shared" si="29"/>
        <v/>
      </c>
      <c r="AL50" s="29" t="str">
        <f t="shared" si="29"/>
        <v/>
      </c>
      <c r="AM50" s="29" t="str">
        <f t="shared" si="29"/>
        <v/>
      </c>
      <c r="AN50" s="29" t="str">
        <f t="shared" si="29"/>
        <v/>
      </c>
      <c r="AO50" s="29" t="str">
        <f t="shared" si="29"/>
        <v/>
      </c>
      <c r="AP50" s="29" t="str">
        <f t="shared" si="29"/>
        <v/>
      </c>
      <c r="AQ50" s="29" t="str">
        <f t="shared" si="29"/>
        <v/>
      </c>
      <c r="AR50" s="29" t="str">
        <f t="shared" si="29"/>
        <v/>
      </c>
      <c r="AS50" s="29" t="str">
        <f t="shared" si="29"/>
        <v/>
      </c>
      <c r="AT50" s="29" t="str">
        <f t="shared" si="29"/>
        <v/>
      </c>
      <c r="AU50" s="29" t="str">
        <f t="shared" si="29"/>
        <v/>
      </c>
      <c r="AV50" s="29" t="str">
        <f t="shared" si="29"/>
        <v/>
      </c>
      <c r="AW50" s="29" t="str">
        <f t="shared" si="29"/>
        <v/>
      </c>
      <c r="AX50" s="29" t="str">
        <f t="shared" si="29"/>
        <v/>
      </c>
      <c r="AY50" s="29" t="str">
        <f t="shared" si="29"/>
        <v/>
      </c>
      <c r="AZ50" s="29" t="str">
        <f t="shared" si="29"/>
        <v/>
      </c>
      <c r="BA50" s="29" t="str">
        <f t="shared" si="29"/>
        <v/>
      </c>
      <c r="BB50" s="29" t="str">
        <f t="shared" si="29"/>
        <v/>
      </c>
      <c r="BC50" s="29" t="str">
        <f t="shared" si="29"/>
        <v/>
      </c>
      <c r="BD50" s="29" t="str">
        <f t="shared" si="29"/>
        <v/>
      </c>
      <c r="BE50" s="29" t="str">
        <f t="shared" si="29"/>
        <v/>
      </c>
      <c r="BF50" s="29" t="str">
        <f t="shared" si="29"/>
        <v/>
      </c>
      <c r="BG50" s="29" t="str">
        <f t="shared" si="29"/>
        <v/>
      </c>
      <c r="BH50" s="29" t="str">
        <f t="shared" si="29"/>
        <v/>
      </c>
      <c r="BI50" s="29" t="str">
        <f t="shared" si="29"/>
        <v/>
      </c>
      <c r="BJ50" s="29" t="str">
        <f t="shared" si="29"/>
        <v/>
      </c>
      <c r="BK50" s="29" t="str">
        <f t="shared" si="29"/>
        <v/>
      </c>
      <c r="BL50" s="29" t="str">
        <f t="shared" si="29"/>
        <v/>
      </c>
      <c r="BM50" s="30" t="str">
        <f t="shared" si="29"/>
        <v/>
      </c>
      <c r="BN50" s="11"/>
    </row>
    <row r="51" spans="1:66" ht="30" customHeight="1" outlineLevel="2">
      <c r="A51" s="243"/>
      <c r="B51" s="36"/>
      <c r="C51" s="37" t="s">
        <v>43</v>
      </c>
      <c r="D51" s="12"/>
      <c r="E51" s="35"/>
      <c r="F51" s="35"/>
      <c r="G51" s="35" t="s">
        <v>184</v>
      </c>
      <c r="H51" s="35"/>
      <c r="I51" s="38"/>
      <c r="J51" s="35" t="s">
        <v>185</v>
      </c>
      <c r="K51" s="32" t="s">
        <v>186</v>
      </c>
      <c r="L51" s="39" t="s">
        <v>179</v>
      </c>
      <c r="M51" s="32" t="s">
        <v>99</v>
      </c>
      <c r="N51" s="22"/>
      <c r="O51" s="32">
        <f t="shared" si="12"/>
        <v>1</v>
      </c>
      <c r="P51" s="32">
        <f t="shared" si="24"/>
        <v>1</v>
      </c>
      <c r="Q51" s="31">
        <v>45760</v>
      </c>
      <c r="R51" s="31">
        <v>45761</v>
      </c>
      <c r="S51" s="22"/>
      <c r="T51" s="32">
        <f t="shared" si="21"/>
        <v>1</v>
      </c>
      <c r="U51" s="32">
        <f t="shared" si="26"/>
        <v>1</v>
      </c>
      <c r="V51" s="31">
        <v>45759</v>
      </c>
      <c r="W51" s="31">
        <v>45761</v>
      </c>
      <c r="X51" s="24"/>
      <c r="Y51" s="239">
        <v>1</v>
      </c>
      <c r="Z51" s="240" t="s">
        <v>187</v>
      </c>
      <c r="AA51" s="240"/>
      <c r="AB51" s="242"/>
      <c r="AC51" s="242"/>
      <c r="AD51" s="28"/>
      <c r="AE51" s="219" t="str">
        <f t="shared" ref="AE51:BM51" si="30">IFERROR(IF(AND($Q51&gt;=(EOMONTH(AE$8,-1)+1),$R51&lt;AF$8,$I51="M"),"u",""),"")</f>
        <v/>
      </c>
      <c r="AF51" s="29" t="str">
        <f t="shared" si="30"/>
        <v/>
      </c>
      <c r="AG51" s="29" t="str">
        <f t="shared" si="30"/>
        <v/>
      </c>
      <c r="AH51" s="29" t="str">
        <f t="shared" si="30"/>
        <v/>
      </c>
      <c r="AI51" s="29" t="str">
        <f t="shared" si="30"/>
        <v/>
      </c>
      <c r="AJ51" s="29" t="str">
        <f t="shared" si="30"/>
        <v/>
      </c>
      <c r="AK51" s="29" t="str">
        <f t="shared" si="30"/>
        <v/>
      </c>
      <c r="AL51" s="29" t="str">
        <f t="shared" si="30"/>
        <v/>
      </c>
      <c r="AM51" s="29" t="str">
        <f t="shared" si="30"/>
        <v/>
      </c>
      <c r="AN51" s="29" t="str">
        <f t="shared" si="30"/>
        <v/>
      </c>
      <c r="AO51" s="29" t="str">
        <f t="shared" si="30"/>
        <v/>
      </c>
      <c r="AP51" s="29" t="str">
        <f t="shared" si="30"/>
        <v/>
      </c>
      <c r="AQ51" s="29" t="str">
        <f t="shared" si="30"/>
        <v/>
      </c>
      <c r="AR51" s="29" t="str">
        <f t="shared" si="30"/>
        <v/>
      </c>
      <c r="AS51" s="29" t="str">
        <f t="shared" si="30"/>
        <v/>
      </c>
      <c r="AT51" s="29" t="str">
        <f t="shared" si="30"/>
        <v/>
      </c>
      <c r="AU51" s="29" t="str">
        <f t="shared" si="30"/>
        <v/>
      </c>
      <c r="AV51" s="29" t="str">
        <f t="shared" si="30"/>
        <v/>
      </c>
      <c r="AW51" s="29" t="str">
        <f t="shared" si="30"/>
        <v/>
      </c>
      <c r="AX51" s="29" t="str">
        <f t="shared" si="30"/>
        <v/>
      </c>
      <c r="AY51" s="29" t="str">
        <f t="shared" si="30"/>
        <v/>
      </c>
      <c r="AZ51" s="29" t="str">
        <f t="shared" si="30"/>
        <v/>
      </c>
      <c r="BA51" s="29" t="str">
        <f t="shared" si="30"/>
        <v/>
      </c>
      <c r="BB51" s="29" t="str">
        <f t="shared" si="30"/>
        <v/>
      </c>
      <c r="BC51" s="29" t="str">
        <f t="shared" si="30"/>
        <v/>
      </c>
      <c r="BD51" s="29" t="str">
        <f t="shared" si="30"/>
        <v/>
      </c>
      <c r="BE51" s="29" t="str">
        <f t="shared" si="30"/>
        <v/>
      </c>
      <c r="BF51" s="29" t="str">
        <f t="shared" si="30"/>
        <v/>
      </c>
      <c r="BG51" s="29" t="str">
        <f t="shared" si="30"/>
        <v/>
      </c>
      <c r="BH51" s="29" t="str">
        <f t="shared" si="30"/>
        <v/>
      </c>
      <c r="BI51" s="29" t="str">
        <f t="shared" si="30"/>
        <v/>
      </c>
      <c r="BJ51" s="29" t="str">
        <f t="shared" si="30"/>
        <v/>
      </c>
      <c r="BK51" s="29" t="str">
        <f t="shared" si="30"/>
        <v/>
      </c>
      <c r="BL51" s="29" t="str">
        <f t="shared" si="30"/>
        <v/>
      </c>
      <c r="BM51" s="30" t="str">
        <f t="shared" si="30"/>
        <v/>
      </c>
      <c r="BN51" s="11"/>
    </row>
    <row r="52" spans="1:66" ht="30" customHeight="1" outlineLevel="2">
      <c r="A52" s="243"/>
      <c r="B52" s="36"/>
      <c r="C52" s="37" t="s">
        <v>43</v>
      </c>
      <c r="D52" s="12"/>
      <c r="E52" s="35"/>
      <c r="F52" s="35"/>
      <c r="G52" s="35" t="s">
        <v>188</v>
      </c>
      <c r="H52" s="35"/>
      <c r="I52" s="38"/>
      <c r="J52" s="35" t="s">
        <v>189</v>
      </c>
      <c r="K52" s="32" t="s">
        <v>190</v>
      </c>
      <c r="L52" s="39" t="s">
        <v>179</v>
      </c>
      <c r="M52" s="32" t="s">
        <v>143</v>
      </c>
      <c r="N52" s="22"/>
      <c r="O52" s="32">
        <f t="shared" si="12"/>
        <v>1</v>
      </c>
      <c r="P52" s="32">
        <f t="shared" si="24"/>
        <v>2</v>
      </c>
      <c r="Q52" s="31">
        <v>45762</v>
      </c>
      <c r="R52" s="31">
        <v>45763</v>
      </c>
      <c r="S52" s="22"/>
      <c r="T52" s="32">
        <f t="shared" si="21"/>
        <v>1</v>
      </c>
      <c r="U52" s="32">
        <f t="shared" si="26"/>
        <v>1</v>
      </c>
      <c r="V52" s="31">
        <v>45762</v>
      </c>
      <c r="W52" s="31">
        <v>45762</v>
      </c>
      <c r="X52" s="24"/>
      <c r="Y52" s="239">
        <v>1</v>
      </c>
      <c r="Z52" s="240" t="s">
        <v>187</v>
      </c>
      <c r="AA52" s="240"/>
      <c r="AB52" s="242"/>
      <c r="AC52" s="242"/>
      <c r="AD52" s="28"/>
      <c r="AE52" s="21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30"/>
      <c r="BN52" s="11"/>
    </row>
    <row r="53" spans="1:66" ht="30" customHeight="1" outlineLevel="2">
      <c r="A53" s="243"/>
      <c r="B53" s="36"/>
      <c r="C53" s="37" t="s">
        <v>43</v>
      </c>
      <c r="D53" s="12"/>
      <c r="E53" s="35"/>
      <c r="F53" s="35"/>
      <c r="G53" s="35" t="s">
        <v>191</v>
      </c>
      <c r="H53" s="35"/>
      <c r="I53" s="38"/>
      <c r="J53" s="35" t="s">
        <v>192</v>
      </c>
      <c r="K53" s="32" t="s">
        <v>193</v>
      </c>
      <c r="L53" s="39" t="s">
        <v>179</v>
      </c>
      <c r="M53" s="32" t="s">
        <v>159</v>
      </c>
      <c r="N53" s="22"/>
      <c r="O53" s="32">
        <f t="shared" si="12"/>
        <v>1</v>
      </c>
      <c r="P53" s="32">
        <f t="shared" si="24"/>
        <v>2</v>
      </c>
      <c r="Q53" s="31">
        <v>45768</v>
      </c>
      <c r="R53" s="31">
        <v>45769</v>
      </c>
      <c r="S53" s="22"/>
      <c r="T53" s="32">
        <f t="shared" si="21"/>
        <v>1</v>
      </c>
      <c r="U53" s="32">
        <f t="shared" si="26"/>
        <v>1</v>
      </c>
      <c r="V53" s="31">
        <v>45771</v>
      </c>
      <c r="W53" s="31">
        <v>45771</v>
      </c>
      <c r="X53" s="24"/>
      <c r="Y53" s="239">
        <v>1</v>
      </c>
      <c r="Z53" s="240" t="s">
        <v>194</v>
      </c>
      <c r="AA53" s="240"/>
      <c r="AB53" s="242"/>
      <c r="AC53" s="242"/>
      <c r="AD53" s="28"/>
      <c r="AE53" s="21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30"/>
      <c r="BN53" s="11"/>
    </row>
    <row r="54" spans="1:66" ht="30" customHeight="1" outlineLevel="1">
      <c r="A54" s="230"/>
      <c r="B54" s="231" t="s">
        <v>39</v>
      </c>
      <c r="C54" s="232"/>
      <c r="D54" s="233"/>
      <c r="E54" s="234"/>
      <c r="F54" s="234" t="s">
        <v>195</v>
      </c>
      <c r="G54" s="234"/>
      <c r="H54" s="234"/>
      <c r="I54" s="235"/>
      <c r="J54" s="240" t="s">
        <v>196</v>
      </c>
      <c r="K54" s="236"/>
      <c r="L54" s="237"/>
      <c r="M54" s="236"/>
      <c r="N54" s="22"/>
      <c r="O54" s="32">
        <f t="shared" si="12"/>
        <v>1</v>
      </c>
      <c r="P54" s="32">
        <f t="shared" si="24"/>
        <v>5</v>
      </c>
      <c r="Q54" s="238">
        <f>MIN(Q55:Q58)</f>
        <v>45766</v>
      </c>
      <c r="R54" s="238">
        <f>MAX(R55:R58)</f>
        <v>45772</v>
      </c>
      <c r="S54" s="22"/>
      <c r="T54" s="32">
        <f t="shared" si="21"/>
        <v>1</v>
      </c>
      <c r="U54" s="32">
        <f t="shared" si="26"/>
        <v>5</v>
      </c>
      <c r="V54" s="31">
        <f>MIN(V55:V57)</f>
        <v>45768</v>
      </c>
      <c r="W54" s="31">
        <f>MAX(W55:W57)</f>
        <v>45772</v>
      </c>
      <c r="X54" s="24"/>
      <c r="Y54" s="239">
        <f>AVERAGE(Y55:Y58)</f>
        <v>1</v>
      </c>
      <c r="Z54" s="240"/>
      <c r="AA54" s="240"/>
      <c r="AB54" s="242"/>
      <c r="AC54" s="242"/>
      <c r="AD54" s="28"/>
      <c r="AE54" s="219" t="str">
        <f t="shared" ref="AE54:BM54" si="31">IFERROR(IF(AND($Q54&gt;=(EOMONTH(AE$8,-1)+1),$R54&lt;AF$8,$I54="M"),"u",""),"")</f>
        <v/>
      </c>
      <c r="AF54" s="29" t="str">
        <f t="shared" si="31"/>
        <v/>
      </c>
      <c r="AG54" s="29" t="str">
        <f t="shared" si="31"/>
        <v/>
      </c>
      <c r="AH54" s="29" t="str">
        <f t="shared" si="31"/>
        <v/>
      </c>
      <c r="AI54" s="29" t="str">
        <f t="shared" si="31"/>
        <v/>
      </c>
      <c r="AJ54" s="29" t="str">
        <f t="shared" si="31"/>
        <v/>
      </c>
      <c r="AK54" s="29" t="str">
        <f t="shared" si="31"/>
        <v/>
      </c>
      <c r="AL54" s="29" t="str">
        <f t="shared" si="31"/>
        <v/>
      </c>
      <c r="AM54" s="29" t="str">
        <f t="shared" si="31"/>
        <v/>
      </c>
      <c r="AN54" s="29" t="str">
        <f t="shared" si="31"/>
        <v/>
      </c>
      <c r="AO54" s="29" t="str">
        <f t="shared" si="31"/>
        <v/>
      </c>
      <c r="AP54" s="29" t="str">
        <f t="shared" si="31"/>
        <v/>
      </c>
      <c r="AQ54" s="29" t="str">
        <f t="shared" si="31"/>
        <v/>
      </c>
      <c r="AR54" s="29" t="str">
        <f t="shared" si="31"/>
        <v/>
      </c>
      <c r="AS54" s="29" t="str">
        <f t="shared" si="31"/>
        <v/>
      </c>
      <c r="AT54" s="29" t="str">
        <f t="shared" si="31"/>
        <v/>
      </c>
      <c r="AU54" s="29" t="str">
        <f t="shared" si="31"/>
        <v/>
      </c>
      <c r="AV54" s="29" t="str">
        <f t="shared" si="31"/>
        <v/>
      </c>
      <c r="AW54" s="29" t="str">
        <f t="shared" si="31"/>
        <v/>
      </c>
      <c r="AX54" s="29" t="str">
        <f t="shared" si="31"/>
        <v/>
      </c>
      <c r="AY54" s="29" t="str">
        <f t="shared" si="31"/>
        <v/>
      </c>
      <c r="AZ54" s="29" t="str">
        <f t="shared" si="31"/>
        <v/>
      </c>
      <c r="BA54" s="29" t="str">
        <f t="shared" si="31"/>
        <v/>
      </c>
      <c r="BB54" s="29" t="str">
        <f t="shared" si="31"/>
        <v/>
      </c>
      <c r="BC54" s="29" t="str">
        <f t="shared" si="31"/>
        <v/>
      </c>
      <c r="BD54" s="29" t="str">
        <f t="shared" si="31"/>
        <v/>
      </c>
      <c r="BE54" s="29" t="str">
        <f t="shared" si="31"/>
        <v/>
      </c>
      <c r="BF54" s="29" t="str">
        <f t="shared" si="31"/>
        <v/>
      </c>
      <c r="BG54" s="29" t="str">
        <f t="shared" si="31"/>
        <v/>
      </c>
      <c r="BH54" s="29" t="str">
        <f t="shared" si="31"/>
        <v/>
      </c>
      <c r="BI54" s="29" t="str">
        <f t="shared" si="31"/>
        <v/>
      </c>
      <c r="BJ54" s="29" t="str">
        <f t="shared" si="31"/>
        <v/>
      </c>
      <c r="BK54" s="29" t="str">
        <f t="shared" si="31"/>
        <v/>
      </c>
      <c r="BL54" s="29" t="str">
        <f t="shared" si="31"/>
        <v/>
      </c>
      <c r="BM54" s="30" t="str">
        <f t="shared" si="31"/>
        <v/>
      </c>
      <c r="BN54" s="11" t="s">
        <v>0</v>
      </c>
    </row>
    <row r="55" spans="1:66" ht="30" customHeight="1" outlineLevel="2">
      <c r="A55" s="243"/>
      <c r="B55" s="36"/>
      <c r="C55" s="37" t="s">
        <v>43</v>
      </c>
      <c r="D55" s="12"/>
      <c r="E55" s="35"/>
      <c r="F55" s="35"/>
      <c r="G55" s="35" t="s">
        <v>197</v>
      </c>
      <c r="H55" s="35"/>
      <c r="I55" s="38"/>
      <c r="J55" s="35" t="s">
        <v>198</v>
      </c>
      <c r="K55" s="32" t="s">
        <v>199</v>
      </c>
      <c r="L55" s="39" t="s">
        <v>179</v>
      </c>
      <c r="M55" s="32" t="s">
        <v>200</v>
      </c>
      <c r="N55" s="22"/>
      <c r="O55" s="32">
        <f t="shared" si="12"/>
        <v>1</v>
      </c>
      <c r="P55" s="32">
        <f t="shared" si="24"/>
        <v>1</v>
      </c>
      <c r="Q55" s="31">
        <v>45766</v>
      </c>
      <c r="R55" s="31">
        <v>45768</v>
      </c>
      <c r="S55" s="22"/>
      <c r="T55" s="32">
        <f t="shared" si="21"/>
        <v>1</v>
      </c>
      <c r="U55" s="32">
        <f t="shared" si="26"/>
        <v>2</v>
      </c>
      <c r="V55" s="53">
        <v>45768</v>
      </c>
      <c r="W55" s="53">
        <v>45769</v>
      </c>
      <c r="X55" s="24"/>
      <c r="Y55" s="239">
        <v>1</v>
      </c>
      <c r="Z55" s="240" t="s">
        <v>201</v>
      </c>
      <c r="AA55" s="240"/>
      <c r="AB55" s="242"/>
      <c r="AC55" s="242"/>
      <c r="AD55" s="28"/>
      <c r="AE55" s="219" t="str">
        <f t="shared" ref="AE55:BM55" si="32">IFERROR(IF(AND($Q55&gt;=(EOMONTH(AE$8,-1)+1),$R55&lt;AF$8,$I55="M"),"u",""),"")</f>
        <v/>
      </c>
      <c r="AF55" s="29" t="str">
        <f t="shared" si="32"/>
        <v/>
      </c>
      <c r="AG55" s="29" t="str">
        <f t="shared" si="32"/>
        <v/>
      </c>
      <c r="AH55" s="29" t="str">
        <f t="shared" si="32"/>
        <v/>
      </c>
      <c r="AI55" s="29" t="str">
        <f t="shared" si="32"/>
        <v/>
      </c>
      <c r="AJ55" s="29" t="str">
        <f t="shared" si="32"/>
        <v/>
      </c>
      <c r="AK55" s="29" t="str">
        <f t="shared" si="32"/>
        <v/>
      </c>
      <c r="AL55" s="29" t="str">
        <f t="shared" si="32"/>
        <v/>
      </c>
      <c r="AM55" s="29" t="str">
        <f t="shared" si="32"/>
        <v/>
      </c>
      <c r="AN55" s="29" t="str">
        <f t="shared" si="32"/>
        <v/>
      </c>
      <c r="AO55" s="29" t="str">
        <f t="shared" si="32"/>
        <v/>
      </c>
      <c r="AP55" s="29" t="str">
        <f t="shared" si="32"/>
        <v/>
      </c>
      <c r="AQ55" s="29" t="str">
        <f t="shared" si="32"/>
        <v/>
      </c>
      <c r="AR55" s="29" t="str">
        <f t="shared" si="32"/>
        <v/>
      </c>
      <c r="AS55" s="29" t="str">
        <f t="shared" si="32"/>
        <v/>
      </c>
      <c r="AT55" s="29" t="str">
        <f t="shared" si="32"/>
        <v/>
      </c>
      <c r="AU55" s="29" t="str">
        <f t="shared" si="32"/>
        <v/>
      </c>
      <c r="AV55" s="29" t="str">
        <f t="shared" si="32"/>
        <v/>
      </c>
      <c r="AW55" s="29" t="str">
        <f t="shared" si="32"/>
        <v/>
      </c>
      <c r="AX55" s="29" t="str">
        <f t="shared" si="32"/>
        <v/>
      </c>
      <c r="AY55" s="29" t="str">
        <f t="shared" si="32"/>
        <v/>
      </c>
      <c r="AZ55" s="29" t="str">
        <f t="shared" si="32"/>
        <v/>
      </c>
      <c r="BA55" s="29" t="str">
        <f t="shared" si="32"/>
        <v/>
      </c>
      <c r="BB55" s="29" t="str">
        <f t="shared" si="32"/>
        <v/>
      </c>
      <c r="BC55" s="29" t="str">
        <f t="shared" si="32"/>
        <v/>
      </c>
      <c r="BD55" s="29" t="str">
        <f t="shared" si="32"/>
        <v/>
      </c>
      <c r="BE55" s="29" t="str">
        <f t="shared" si="32"/>
        <v/>
      </c>
      <c r="BF55" s="29" t="str">
        <f t="shared" si="32"/>
        <v/>
      </c>
      <c r="BG55" s="29" t="str">
        <f t="shared" si="32"/>
        <v/>
      </c>
      <c r="BH55" s="29" t="str">
        <f t="shared" si="32"/>
        <v/>
      </c>
      <c r="BI55" s="29" t="str">
        <f t="shared" si="32"/>
        <v/>
      </c>
      <c r="BJ55" s="29" t="str">
        <f t="shared" si="32"/>
        <v/>
      </c>
      <c r="BK55" s="29" t="str">
        <f t="shared" si="32"/>
        <v/>
      </c>
      <c r="BL55" s="29" t="str">
        <f t="shared" si="32"/>
        <v/>
      </c>
      <c r="BM55" s="30" t="str">
        <f t="shared" si="32"/>
        <v/>
      </c>
      <c r="BN55" s="11" t="s">
        <v>0</v>
      </c>
    </row>
    <row r="56" spans="1:66" ht="30" customHeight="1" outlineLevel="2">
      <c r="A56" s="243"/>
      <c r="B56" s="36"/>
      <c r="C56" s="37" t="s">
        <v>43</v>
      </c>
      <c r="D56" s="12"/>
      <c r="E56" s="35"/>
      <c r="F56" s="35"/>
      <c r="G56" s="35" t="s">
        <v>202</v>
      </c>
      <c r="H56" s="35"/>
      <c r="I56" s="38"/>
      <c r="J56" s="35" t="s">
        <v>203</v>
      </c>
      <c r="K56" s="32" t="s">
        <v>204</v>
      </c>
      <c r="L56" s="39" t="s">
        <v>179</v>
      </c>
      <c r="M56" s="32" t="s">
        <v>200</v>
      </c>
      <c r="N56" s="22"/>
      <c r="O56" s="32">
        <f t="shared" si="12"/>
        <v>1</v>
      </c>
      <c r="P56" s="32">
        <f t="shared" si="24"/>
        <v>3</v>
      </c>
      <c r="Q56" s="31">
        <v>45768</v>
      </c>
      <c r="R56" s="31">
        <v>45770</v>
      </c>
      <c r="S56" s="22"/>
      <c r="T56" s="32">
        <f t="shared" si="21"/>
        <v>1</v>
      </c>
      <c r="U56" s="32">
        <f t="shared" si="26"/>
        <v>2</v>
      </c>
      <c r="V56" s="53">
        <v>45769</v>
      </c>
      <c r="W56" s="53">
        <v>45770</v>
      </c>
      <c r="X56" s="24"/>
      <c r="Y56" s="239">
        <v>1</v>
      </c>
      <c r="Z56" s="240" t="s">
        <v>205</v>
      </c>
      <c r="AA56" s="240"/>
      <c r="AB56" s="242"/>
      <c r="AC56" s="242"/>
      <c r="AD56" s="28"/>
      <c r="AE56" s="219" t="str">
        <f t="shared" ref="AE56:BM56" si="33">IFERROR(IF(AND($Q56&gt;=(EOMONTH(AE$8,-1)+1),$R56&lt;AF$8,$I56="M"),"u",""),"")</f>
        <v/>
      </c>
      <c r="AF56" s="29" t="str">
        <f t="shared" si="33"/>
        <v/>
      </c>
      <c r="AG56" s="29" t="str">
        <f t="shared" si="33"/>
        <v/>
      </c>
      <c r="AH56" s="29" t="str">
        <f t="shared" si="33"/>
        <v/>
      </c>
      <c r="AI56" s="29" t="str">
        <f t="shared" si="33"/>
        <v/>
      </c>
      <c r="AJ56" s="29" t="str">
        <f t="shared" si="33"/>
        <v/>
      </c>
      <c r="AK56" s="29" t="str">
        <f t="shared" si="33"/>
        <v/>
      </c>
      <c r="AL56" s="29" t="str">
        <f t="shared" si="33"/>
        <v/>
      </c>
      <c r="AM56" s="29" t="str">
        <f t="shared" si="33"/>
        <v/>
      </c>
      <c r="AN56" s="29" t="str">
        <f t="shared" si="33"/>
        <v/>
      </c>
      <c r="AO56" s="29" t="str">
        <f t="shared" si="33"/>
        <v/>
      </c>
      <c r="AP56" s="29" t="str">
        <f t="shared" si="33"/>
        <v/>
      </c>
      <c r="AQ56" s="29" t="str">
        <f t="shared" si="33"/>
        <v/>
      </c>
      <c r="AR56" s="29" t="str">
        <f t="shared" si="33"/>
        <v/>
      </c>
      <c r="AS56" s="29" t="str">
        <f t="shared" si="33"/>
        <v/>
      </c>
      <c r="AT56" s="29" t="str">
        <f t="shared" si="33"/>
        <v/>
      </c>
      <c r="AU56" s="29" t="str">
        <f t="shared" si="33"/>
        <v/>
      </c>
      <c r="AV56" s="29" t="str">
        <f t="shared" si="33"/>
        <v/>
      </c>
      <c r="AW56" s="29" t="str">
        <f t="shared" si="33"/>
        <v/>
      </c>
      <c r="AX56" s="29" t="str">
        <f t="shared" si="33"/>
        <v/>
      </c>
      <c r="AY56" s="29" t="str">
        <f t="shared" si="33"/>
        <v/>
      </c>
      <c r="AZ56" s="29" t="str">
        <f t="shared" si="33"/>
        <v/>
      </c>
      <c r="BA56" s="29" t="str">
        <f t="shared" si="33"/>
        <v/>
      </c>
      <c r="BB56" s="29" t="str">
        <f t="shared" si="33"/>
        <v/>
      </c>
      <c r="BC56" s="29" t="str">
        <f t="shared" si="33"/>
        <v/>
      </c>
      <c r="BD56" s="29" t="str">
        <f t="shared" si="33"/>
        <v/>
      </c>
      <c r="BE56" s="29" t="str">
        <f t="shared" si="33"/>
        <v/>
      </c>
      <c r="BF56" s="29" t="str">
        <f t="shared" si="33"/>
        <v/>
      </c>
      <c r="BG56" s="29" t="str">
        <f t="shared" si="33"/>
        <v/>
      </c>
      <c r="BH56" s="29" t="str">
        <f t="shared" si="33"/>
        <v/>
      </c>
      <c r="BI56" s="29" t="str">
        <f t="shared" si="33"/>
        <v/>
      </c>
      <c r="BJ56" s="29" t="str">
        <f t="shared" si="33"/>
        <v/>
      </c>
      <c r="BK56" s="29" t="str">
        <f t="shared" si="33"/>
        <v/>
      </c>
      <c r="BL56" s="29" t="str">
        <f t="shared" si="33"/>
        <v/>
      </c>
      <c r="BM56" s="30" t="str">
        <f t="shared" si="33"/>
        <v/>
      </c>
      <c r="BN56" s="11" t="s">
        <v>0</v>
      </c>
    </row>
    <row r="57" spans="1:66" ht="30" customHeight="1" outlineLevel="2">
      <c r="A57" s="243"/>
      <c r="B57" s="36"/>
      <c r="C57" s="37" t="s">
        <v>43</v>
      </c>
      <c r="D57" s="12"/>
      <c r="E57" s="35"/>
      <c r="F57" s="35"/>
      <c r="G57" s="35" t="s">
        <v>206</v>
      </c>
      <c r="H57" s="35"/>
      <c r="I57" s="38"/>
      <c r="J57" s="35" t="s">
        <v>207</v>
      </c>
      <c r="K57" s="32" t="s">
        <v>208</v>
      </c>
      <c r="L57" s="39" t="s">
        <v>179</v>
      </c>
      <c r="M57" s="32" t="s">
        <v>200</v>
      </c>
      <c r="N57" s="22"/>
      <c r="O57" s="32">
        <f t="shared" si="12"/>
        <v>1</v>
      </c>
      <c r="P57" s="32">
        <f t="shared" si="24"/>
        <v>2</v>
      </c>
      <c r="Q57" s="31">
        <v>45771</v>
      </c>
      <c r="R57" s="31">
        <v>45772</v>
      </c>
      <c r="S57" s="22"/>
      <c r="T57" s="32">
        <f t="shared" si="21"/>
        <v>1</v>
      </c>
      <c r="U57" s="32">
        <f t="shared" si="26"/>
        <v>2</v>
      </c>
      <c r="V57" s="53">
        <v>45771</v>
      </c>
      <c r="W57" s="53">
        <v>45772</v>
      </c>
      <c r="X57" s="24"/>
      <c r="Y57" s="239">
        <v>1</v>
      </c>
      <c r="Z57" s="240" t="s">
        <v>205</v>
      </c>
      <c r="AA57" s="240"/>
      <c r="AB57" s="242"/>
      <c r="AC57" s="242"/>
      <c r="AD57" s="28"/>
      <c r="AE57" s="219" t="str">
        <f t="shared" ref="AE57:BM57" si="34">IFERROR(IF(AND($Q57&gt;=(EOMONTH(AE$8,-1)+1),$R57&lt;AF$8,$I57="M"),"u",""),"")</f>
        <v/>
      </c>
      <c r="AF57" s="29" t="str">
        <f t="shared" si="34"/>
        <v/>
      </c>
      <c r="AG57" s="29" t="str">
        <f t="shared" si="34"/>
        <v/>
      </c>
      <c r="AH57" s="29" t="str">
        <f t="shared" si="34"/>
        <v/>
      </c>
      <c r="AI57" s="29" t="str">
        <f t="shared" si="34"/>
        <v/>
      </c>
      <c r="AJ57" s="29" t="str">
        <f t="shared" si="34"/>
        <v/>
      </c>
      <c r="AK57" s="29" t="str">
        <f t="shared" si="34"/>
        <v/>
      </c>
      <c r="AL57" s="29" t="str">
        <f t="shared" si="34"/>
        <v/>
      </c>
      <c r="AM57" s="29" t="str">
        <f t="shared" si="34"/>
        <v/>
      </c>
      <c r="AN57" s="29" t="str">
        <f t="shared" si="34"/>
        <v/>
      </c>
      <c r="AO57" s="29" t="str">
        <f t="shared" si="34"/>
        <v/>
      </c>
      <c r="AP57" s="29" t="str">
        <f t="shared" si="34"/>
        <v/>
      </c>
      <c r="AQ57" s="29" t="str">
        <f t="shared" si="34"/>
        <v/>
      </c>
      <c r="AR57" s="29" t="str">
        <f t="shared" si="34"/>
        <v/>
      </c>
      <c r="AS57" s="29" t="str">
        <f t="shared" si="34"/>
        <v/>
      </c>
      <c r="AT57" s="29" t="str">
        <f t="shared" si="34"/>
        <v/>
      </c>
      <c r="AU57" s="29" t="str">
        <f t="shared" si="34"/>
        <v/>
      </c>
      <c r="AV57" s="29" t="str">
        <f t="shared" si="34"/>
        <v/>
      </c>
      <c r="AW57" s="29" t="str">
        <f t="shared" si="34"/>
        <v/>
      </c>
      <c r="AX57" s="29" t="str">
        <f t="shared" si="34"/>
        <v/>
      </c>
      <c r="AY57" s="29" t="str">
        <f t="shared" si="34"/>
        <v/>
      </c>
      <c r="AZ57" s="29" t="str">
        <f t="shared" si="34"/>
        <v/>
      </c>
      <c r="BA57" s="29" t="str">
        <f t="shared" si="34"/>
        <v/>
      </c>
      <c r="BB57" s="29" t="str">
        <f t="shared" si="34"/>
        <v/>
      </c>
      <c r="BC57" s="29" t="str">
        <f t="shared" si="34"/>
        <v/>
      </c>
      <c r="BD57" s="29" t="str">
        <f t="shared" si="34"/>
        <v/>
      </c>
      <c r="BE57" s="29" t="str">
        <f t="shared" si="34"/>
        <v/>
      </c>
      <c r="BF57" s="29" t="str">
        <f t="shared" si="34"/>
        <v/>
      </c>
      <c r="BG57" s="29" t="str">
        <f t="shared" si="34"/>
        <v/>
      </c>
      <c r="BH57" s="29" t="str">
        <f t="shared" si="34"/>
        <v/>
      </c>
      <c r="BI57" s="29" t="str">
        <f t="shared" si="34"/>
        <v/>
      </c>
      <c r="BJ57" s="29" t="str">
        <f t="shared" si="34"/>
        <v/>
      </c>
      <c r="BK57" s="29" t="str">
        <f t="shared" si="34"/>
        <v/>
      </c>
      <c r="BL57" s="29" t="str">
        <f t="shared" si="34"/>
        <v/>
      </c>
      <c r="BM57" s="30" t="str">
        <f t="shared" si="34"/>
        <v/>
      </c>
      <c r="BN57" s="11" t="s">
        <v>0</v>
      </c>
    </row>
    <row r="58" spans="1:66" ht="30" customHeight="1" outlineLevel="2">
      <c r="A58" s="243"/>
      <c r="B58" s="36"/>
      <c r="C58" s="37" t="s">
        <v>43</v>
      </c>
      <c r="D58" s="12"/>
      <c r="E58" s="35"/>
      <c r="F58" s="35"/>
      <c r="G58" s="35" t="s">
        <v>209</v>
      </c>
      <c r="H58" s="35"/>
      <c r="I58" s="38"/>
      <c r="J58" s="35" t="s">
        <v>210</v>
      </c>
      <c r="K58" s="32" t="s">
        <v>211</v>
      </c>
      <c r="L58" s="39" t="s">
        <v>143</v>
      </c>
      <c r="M58" s="32" t="s">
        <v>179</v>
      </c>
      <c r="N58" s="22"/>
      <c r="O58" s="32">
        <f t="shared" si="12"/>
        <v>1</v>
      </c>
      <c r="P58" s="32">
        <f t="shared" si="24"/>
        <v>1</v>
      </c>
      <c r="Q58" s="31">
        <v>45772</v>
      </c>
      <c r="R58" s="31">
        <v>45772</v>
      </c>
      <c r="S58" s="22"/>
      <c r="T58" s="32">
        <f t="shared" si="21"/>
        <v>1</v>
      </c>
      <c r="U58" s="32">
        <f t="shared" si="26"/>
        <v>2</v>
      </c>
      <c r="V58" s="53">
        <v>45771</v>
      </c>
      <c r="W58" s="53">
        <v>45772</v>
      </c>
      <c r="X58" s="24"/>
      <c r="Y58" s="239">
        <v>1</v>
      </c>
      <c r="Z58" s="240" t="s">
        <v>212</v>
      </c>
      <c r="AA58" s="240"/>
      <c r="AB58" s="242"/>
      <c r="AC58" s="242"/>
      <c r="AD58" s="28"/>
      <c r="AE58" s="219" t="str">
        <f t="shared" ref="AE58:BM58" si="35">IFERROR(IF(AND($Q58&gt;=(EOMONTH(AE$8,-1)+1),$R58&lt;AF$8,$I58="M"),"u",""),"")</f>
        <v/>
      </c>
      <c r="AF58" s="29" t="str">
        <f t="shared" si="35"/>
        <v/>
      </c>
      <c r="AG58" s="29" t="str">
        <f t="shared" si="35"/>
        <v/>
      </c>
      <c r="AH58" s="29" t="str">
        <f t="shared" si="35"/>
        <v/>
      </c>
      <c r="AI58" s="29" t="str">
        <f t="shared" si="35"/>
        <v/>
      </c>
      <c r="AJ58" s="29" t="str">
        <f t="shared" si="35"/>
        <v/>
      </c>
      <c r="AK58" s="29" t="str">
        <f t="shared" si="35"/>
        <v/>
      </c>
      <c r="AL58" s="29" t="str">
        <f t="shared" si="35"/>
        <v/>
      </c>
      <c r="AM58" s="29" t="str">
        <f t="shared" si="35"/>
        <v/>
      </c>
      <c r="AN58" s="29" t="str">
        <f t="shared" si="35"/>
        <v/>
      </c>
      <c r="AO58" s="29" t="str">
        <f t="shared" si="35"/>
        <v/>
      </c>
      <c r="AP58" s="29" t="str">
        <f t="shared" si="35"/>
        <v/>
      </c>
      <c r="AQ58" s="29" t="str">
        <f t="shared" si="35"/>
        <v/>
      </c>
      <c r="AR58" s="29" t="str">
        <f t="shared" si="35"/>
        <v/>
      </c>
      <c r="AS58" s="29" t="str">
        <f t="shared" si="35"/>
        <v/>
      </c>
      <c r="AT58" s="29" t="str">
        <f t="shared" si="35"/>
        <v/>
      </c>
      <c r="AU58" s="29" t="str">
        <f t="shared" si="35"/>
        <v/>
      </c>
      <c r="AV58" s="29" t="str">
        <f t="shared" si="35"/>
        <v/>
      </c>
      <c r="AW58" s="29" t="str">
        <f t="shared" si="35"/>
        <v/>
      </c>
      <c r="AX58" s="29" t="str">
        <f t="shared" si="35"/>
        <v/>
      </c>
      <c r="AY58" s="29" t="str">
        <f t="shared" si="35"/>
        <v/>
      </c>
      <c r="AZ58" s="29" t="str">
        <f t="shared" si="35"/>
        <v/>
      </c>
      <c r="BA58" s="29" t="str">
        <f t="shared" si="35"/>
        <v/>
      </c>
      <c r="BB58" s="29" t="str">
        <f t="shared" si="35"/>
        <v/>
      </c>
      <c r="BC58" s="29" t="str">
        <f t="shared" si="35"/>
        <v/>
      </c>
      <c r="BD58" s="29" t="str">
        <f t="shared" si="35"/>
        <v/>
      </c>
      <c r="BE58" s="29" t="str">
        <f t="shared" si="35"/>
        <v/>
      </c>
      <c r="BF58" s="29" t="str">
        <f t="shared" si="35"/>
        <v/>
      </c>
      <c r="BG58" s="29" t="str">
        <f t="shared" si="35"/>
        <v/>
      </c>
      <c r="BH58" s="29" t="str">
        <f t="shared" si="35"/>
        <v/>
      </c>
      <c r="BI58" s="29" t="str">
        <f t="shared" si="35"/>
        <v/>
      </c>
      <c r="BJ58" s="29" t="str">
        <f t="shared" si="35"/>
        <v/>
      </c>
      <c r="BK58" s="29" t="str">
        <f t="shared" si="35"/>
        <v/>
      </c>
      <c r="BL58" s="29" t="str">
        <f t="shared" si="35"/>
        <v/>
      </c>
      <c r="BM58" s="30" t="str">
        <f t="shared" si="35"/>
        <v/>
      </c>
      <c r="BN58" s="11" t="s">
        <v>0</v>
      </c>
    </row>
    <row r="59" spans="1:66" ht="30" customHeight="1" outlineLevel="1">
      <c r="A59" s="230"/>
      <c r="B59" s="231" t="s">
        <v>39</v>
      </c>
      <c r="C59" s="232"/>
      <c r="D59" s="233"/>
      <c r="E59" s="234"/>
      <c r="F59" s="234" t="s">
        <v>213</v>
      </c>
      <c r="G59" s="234"/>
      <c r="H59" s="234"/>
      <c r="I59" s="235"/>
      <c r="J59" s="240" t="s">
        <v>214</v>
      </c>
      <c r="K59" s="236" t="s">
        <v>215</v>
      </c>
      <c r="L59" s="237"/>
      <c r="M59" s="236"/>
      <c r="N59" s="22"/>
      <c r="O59" s="32">
        <f t="shared" si="12"/>
        <v>1</v>
      </c>
      <c r="P59" s="32">
        <f t="shared" si="24"/>
        <v>18</v>
      </c>
      <c r="Q59" s="238">
        <f>MIN(Q60:Q63)</f>
        <v>45775</v>
      </c>
      <c r="R59" s="238">
        <f>MAX(R60:R63)</f>
        <v>45798</v>
      </c>
      <c r="S59" s="22"/>
      <c r="T59" s="32">
        <f t="shared" si="21"/>
        <v>1</v>
      </c>
      <c r="U59" s="32">
        <f t="shared" si="26"/>
        <v>8</v>
      </c>
      <c r="V59" s="31">
        <f>MIN(V60:V62)</f>
        <v>45776</v>
      </c>
      <c r="W59" s="31">
        <f>MAX(W60:W62)</f>
        <v>45785</v>
      </c>
      <c r="X59" s="24"/>
      <c r="Y59" s="239">
        <f>AVERAGE(Y60:Y63)</f>
        <v>1</v>
      </c>
      <c r="Z59" s="240"/>
      <c r="AA59" s="240"/>
      <c r="AB59" s="242"/>
      <c r="AC59" s="242"/>
      <c r="AD59" s="28"/>
      <c r="AE59" s="219" t="str">
        <f t="shared" ref="AE59:BM59" si="36">IFERROR(IF(AND($Q59&gt;=(EOMONTH(AE$8,-1)+1),$R59&lt;AF$8,$I59="M"),"u",""),"")</f>
        <v/>
      </c>
      <c r="AF59" s="29" t="str">
        <f t="shared" si="36"/>
        <v/>
      </c>
      <c r="AG59" s="29" t="str">
        <f t="shared" si="36"/>
        <v/>
      </c>
      <c r="AH59" s="29" t="str">
        <f t="shared" si="36"/>
        <v/>
      </c>
      <c r="AI59" s="29" t="str">
        <f t="shared" si="36"/>
        <v/>
      </c>
      <c r="AJ59" s="29" t="str">
        <f t="shared" si="36"/>
        <v/>
      </c>
      <c r="AK59" s="29" t="str">
        <f t="shared" si="36"/>
        <v/>
      </c>
      <c r="AL59" s="29" t="str">
        <f t="shared" si="36"/>
        <v/>
      </c>
      <c r="AM59" s="29" t="str">
        <f t="shared" si="36"/>
        <v/>
      </c>
      <c r="AN59" s="29" t="str">
        <f t="shared" si="36"/>
        <v/>
      </c>
      <c r="AO59" s="29" t="str">
        <f t="shared" si="36"/>
        <v/>
      </c>
      <c r="AP59" s="29" t="str">
        <f t="shared" si="36"/>
        <v/>
      </c>
      <c r="AQ59" s="29" t="str">
        <f t="shared" si="36"/>
        <v/>
      </c>
      <c r="AR59" s="29" t="str">
        <f t="shared" si="36"/>
        <v/>
      </c>
      <c r="AS59" s="29" t="str">
        <f t="shared" si="36"/>
        <v/>
      </c>
      <c r="AT59" s="29" t="str">
        <f t="shared" si="36"/>
        <v/>
      </c>
      <c r="AU59" s="29" t="str">
        <f t="shared" si="36"/>
        <v/>
      </c>
      <c r="AV59" s="29" t="str">
        <f t="shared" si="36"/>
        <v/>
      </c>
      <c r="AW59" s="29" t="str">
        <f t="shared" si="36"/>
        <v/>
      </c>
      <c r="AX59" s="29" t="str">
        <f t="shared" si="36"/>
        <v/>
      </c>
      <c r="AY59" s="29" t="str">
        <f t="shared" si="36"/>
        <v/>
      </c>
      <c r="AZ59" s="29" t="str">
        <f t="shared" si="36"/>
        <v/>
      </c>
      <c r="BA59" s="29" t="str">
        <f t="shared" si="36"/>
        <v/>
      </c>
      <c r="BB59" s="29" t="str">
        <f t="shared" si="36"/>
        <v/>
      </c>
      <c r="BC59" s="29" t="str">
        <f t="shared" si="36"/>
        <v/>
      </c>
      <c r="BD59" s="29" t="str">
        <f t="shared" si="36"/>
        <v/>
      </c>
      <c r="BE59" s="29" t="str">
        <f t="shared" si="36"/>
        <v/>
      </c>
      <c r="BF59" s="29" t="str">
        <f t="shared" si="36"/>
        <v/>
      </c>
      <c r="BG59" s="29" t="str">
        <f t="shared" si="36"/>
        <v/>
      </c>
      <c r="BH59" s="29" t="str">
        <f t="shared" si="36"/>
        <v/>
      </c>
      <c r="BI59" s="29" t="str">
        <f t="shared" si="36"/>
        <v/>
      </c>
      <c r="BJ59" s="29" t="str">
        <f t="shared" si="36"/>
        <v/>
      </c>
      <c r="BK59" s="29" t="str">
        <f t="shared" si="36"/>
        <v/>
      </c>
      <c r="BL59" s="29" t="str">
        <f t="shared" si="36"/>
        <v/>
      </c>
      <c r="BM59" s="30" t="str">
        <f t="shared" si="36"/>
        <v/>
      </c>
      <c r="BN59" s="11" t="s">
        <v>0</v>
      </c>
    </row>
    <row r="60" spans="1:66" ht="30" customHeight="1" outlineLevel="2">
      <c r="A60" s="243"/>
      <c r="B60" s="36"/>
      <c r="C60" s="37" t="s">
        <v>43</v>
      </c>
      <c r="D60" s="12"/>
      <c r="E60" s="35"/>
      <c r="F60" s="35"/>
      <c r="G60" s="35" t="s">
        <v>216</v>
      </c>
      <c r="H60" s="35"/>
      <c r="I60" s="38"/>
      <c r="J60" s="35" t="s">
        <v>217</v>
      </c>
      <c r="K60" s="32" t="s">
        <v>218</v>
      </c>
      <c r="L60" s="39" t="s">
        <v>179</v>
      </c>
      <c r="M60" s="32" t="s">
        <v>143</v>
      </c>
      <c r="N60" s="22"/>
      <c r="O60" s="32">
        <f t="shared" si="12"/>
        <v>1</v>
      </c>
      <c r="P60" s="32">
        <f t="shared" si="24"/>
        <v>5</v>
      </c>
      <c r="Q60" s="31">
        <v>45775</v>
      </c>
      <c r="R60" s="31">
        <v>45779</v>
      </c>
      <c r="S60" s="22"/>
      <c r="T60" s="32">
        <f t="shared" si="21"/>
        <v>1</v>
      </c>
      <c r="U60" s="32">
        <f t="shared" si="26"/>
        <v>4</v>
      </c>
      <c r="V60" s="53">
        <v>45776</v>
      </c>
      <c r="W60" s="53">
        <v>45779</v>
      </c>
      <c r="X60" s="24"/>
      <c r="Y60" s="239">
        <v>1</v>
      </c>
      <c r="Z60" s="240" t="s">
        <v>219</v>
      </c>
      <c r="AA60" s="240"/>
      <c r="AB60" s="242"/>
      <c r="AC60" s="242"/>
      <c r="AD60" s="28"/>
      <c r="AE60" s="219" t="str">
        <f t="shared" ref="AE60:BM60" si="37">IFERROR(IF(AND($Q60&gt;=(EOMONTH(AE$8,-1)+1),$R60&lt;AF$8,$I60="M"),"u",""),"")</f>
        <v/>
      </c>
      <c r="AF60" s="29" t="str">
        <f t="shared" si="37"/>
        <v/>
      </c>
      <c r="AG60" s="29" t="str">
        <f t="shared" si="37"/>
        <v/>
      </c>
      <c r="AH60" s="29" t="str">
        <f t="shared" si="37"/>
        <v/>
      </c>
      <c r="AI60" s="29" t="str">
        <f t="shared" si="37"/>
        <v/>
      </c>
      <c r="AJ60" s="29" t="str">
        <f t="shared" si="37"/>
        <v/>
      </c>
      <c r="AK60" s="29" t="str">
        <f t="shared" si="37"/>
        <v/>
      </c>
      <c r="AL60" s="29" t="str">
        <f t="shared" si="37"/>
        <v/>
      </c>
      <c r="AM60" s="29" t="str">
        <f t="shared" si="37"/>
        <v/>
      </c>
      <c r="AN60" s="29" t="str">
        <f t="shared" si="37"/>
        <v/>
      </c>
      <c r="AO60" s="29" t="str">
        <f t="shared" si="37"/>
        <v/>
      </c>
      <c r="AP60" s="29" t="str">
        <f t="shared" si="37"/>
        <v/>
      </c>
      <c r="AQ60" s="29" t="str">
        <f t="shared" si="37"/>
        <v/>
      </c>
      <c r="AR60" s="29" t="str">
        <f t="shared" si="37"/>
        <v/>
      </c>
      <c r="AS60" s="29" t="str">
        <f t="shared" si="37"/>
        <v/>
      </c>
      <c r="AT60" s="29" t="str">
        <f t="shared" si="37"/>
        <v/>
      </c>
      <c r="AU60" s="29" t="str">
        <f t="shared" si="37"/>
        <v/>
      </c>
      <c r="AV60" s="29" t="str">
        <f t="shared" si="37"/>
        <v/>
      </c>
      <c r="AW60" s="29" t="str">
        <f t="shared" si="37"/>
        <v/>
      </c>
      <c r="AX60" s="29" t="str">
        <f t="shared" si="37"/>
        <v/>
      </c>
      <c r="AY60" s="29" t="str">
        <f t="shared" si="37"/>
        <v/>
      </c>
      <c r="AZ60" s="29" t="str">
        <f t="shared" si="37"/>
        <v/>
      </c>
      <c r="BA60" s="29" t="str">
        <f t="shared" si="37"/>
        <v/>
      </c>
      <c r="BB60" s="29" t="str">
        <f t="shared" si="37"/>
        <v/>
      </c>
      <c r="BC60" s="29" t="str">
        <f t="shared" si="37"/>
        <v/>
      </c>
      <c r="BD60" s="29" t="str">
        <f t="shared" si="37"/>
        <v/>
      </c>
      <c r="BE60" s="29" t="str">
        <f t="shared" si="37"/>
        <v/>
      </c>
      <c r="BF60" s="29" t="str">
        <f t="shared" si="37"/>
        <v/>
      </c>
      <c r="BG60" s="29" t="str">
        <f t="shared" si="37"/>
        <v/>
      </c>
      <c r="BH60" s="29" t="str">
        <f t="shared" si="37"/>
        <v/>
      </c>
      <c r="BI60" s="29" t="str">
        <f t="shared" si="37"/>
        <v/>
      </c>
      <c r="BJ60" s="29" t="str">
        <f t="shared" si="37"/>
        <v/>
      </c>
      <c r="BK60" s="29" t="str">
        <f t="shared" si="37"/>
        <v/>
      </c>
      <c r="BL60" s="29" t="str">
        <f t="shared" si="37"/>
        <v/>
      </c>
      <c r="BM60" s="30" t="str">
        <f t="shared" si="37"/>
        <v/>
      </c>
      <c r="BN60" s="11" t="s">
        <v>0</v>
      </c>
    </row>
    <row r="61" spans="1:66" ht="30" customHeight="1" outlineLevel="2">
      <c r="A61" s="243"/>
      <c r="B61" s="36"/>
      <c r="C61" s="37" t="s">
        <v>43</v>
      </c>
      <c r="D61" s="404"/>
      <c r="E61" s="405"/>
      <c r="F61" s="405"/>
      <c r="G61" s="405" t="s">
        <v>220</v>
      </c>
      <c r="H61" s="405"/>
      <c r="I61" s="38"/>
      <c r="J61" s="35" t="s">
        <v>221</v>
      </c>
      <c r="K61" s="32" t="s">
        <v>222</v>
      </c>
      <c r="L61" s="39" t="s">
        <v>179</v>
      </c>
      <c r="M61" s="32" t="s">
        <v>38</v>
      </c>
      <c r="N61" s="22"/>
      <c r="O61" s="32">
        <f t="shared" si="12"/>
        <v>1</v>
      </c>
      <c r="P61" s="32">
        <f t="shared" si="24"/>
        <v>5</v>
      </c>
      <c r="Q61" s="31">
        <v>45782</v>
      </c>
      <c r="R61" s="31">
        <v>45786</v>
      </c>
      <c r="S61" s="22"/>
      <c r="T61" s="32">
        <f t="shared" si="21"/>
        <v>1</v>
      </c>
      <c r="U61" s="32">
        <f t="shared" si="26"/>
        <v>4</v>
      </c>
      <c r="V61" s="53">
        <v>45782</v>
      </c>
      <c r="W61" s="53">
        <v>45785</v>
      </c>
      <c r="X61" s="24"/>
      <c r="Y61" s="239">
        <v>1</v>
      </c>
      <c r="Z61" s="250" t="s">
        <v>223</v>
      </c>
      <c r="AA61" s="240"/>
      <c r="AB61" s="242"/>
      <c r="AC61" s="242"/>
      <c r="AD61" s="28"/>
      <c r="AE61" s="219" t="str">
        <f t="shared" ref="AE61:BM61" si="38">IFERROR(IF(AND($Q61&gt;=(EOMONTH(AE$8,-1)+1),$R61&lt;AF$8,$I61="M"),"u",""),"")</f>
        <v/>
      </c>
      <c r="AF61" s="29" t="str">
        <f t="shared" si="38"/>
        <v/>
      </c>
      <c r="AG61" s="29" t="str">
        <f t="shared" si="38"/>
        <v/>
      </c>
      <c r="AH61" s="29" t="str">
        <f t="shared" si="38"/>
        <v/>
      </c>
      <c r="AI61" s="29" t="str">
        <f t="shared" si="38"/>
        <v/>
      </c>
      <c r="AJ61" s="29" t="str">
        <f t="shared" si="38"/>
        <v/>
      </c>
      <c r="AK61" s="29" t="str">
        <f t="shared" si="38"/>
        <v/>
      </c>
      <c r="AL61" s="29" t="str">
        <f t="shared" si="38"/>
        <v/>
      </c>
      <c r="AM61" s="29" t="str">
        <f t="shared" si="38"/>
        <v/>
      </c>
      <c r="AN61" s="29" t="str">
        <f t="shared" si="38"/>
        <v/>
      </c>
      <c r="AO61" s="29" t="str">
        <f t="shared" si="38"/>
        <v/>
      </c>
      <c r="AP61" s="29" t="str">
        <f t="shared" si="38"/>
        <v/>
      </c>
      <c r="AQ61" s="29" t="str">
        <f t="shared" si="38"/>
        <v/>
      </c>
      <c r="AR61" s="29" t="str">
        <f t="shared" si="38"/>
        <v/>
      </c>
      <c r="AS61" s="29" t="str">
        <f t="shared" si="38"/>
        <v/>
      </c>
      <c r="AT61" s="29" t="str">
        <f t="shared" si="38"/>
        <v/>
      </c>
      <c r="AU61" s="29" t="str">
        <f t="shared" si="38"/>
        <v/>
      </c>
      <c r="AV61" s="29" t="str">
        <f t="shared" si="38"/>
        <v/>
      </c>
      <c r="AW61" s="29" t="str">
        <f t="shared" si="38"/>
        <v/>
      </c>
      <c r="AX61" s="29" t="str">
        <f t="shared" si="38"/>
        <v/>
      </c>
      <c r="AY61" s="29" t="str">
        <f t="shared" si="38"/>
        <v/>
      </c>
      <c r="AZ61" s="29" t="str">
        <f t="shared" si="38"/>
        <v/>
      </c>
      <c r="BA61" s="29" t="str">
        <f t="shared" si="38"/>
        <v/>
      </c>
      <c r="BB61" s="29" t="str">
        <f t="shared" si="38"/>
        <v/>
      </c>
      <c r="BC61" s="29" t="str">
        <f t="shared" si="38"/>
        <v/>
      </c>
      <c r="BD61" s="29" t="str">
        <f t="shared" si="38"/>
        <v/>
      </c>
      <c r="BE61" s="29" t="str">
        <f t="shared" si="38"/>
        <v/>
      </c>
      <c r="BF61" s="29" t="str">
        <f t="shared" si="38"/>
        <v/>
      </c>
      <c r="BG61" s="29" t="str">
        <f t="shared" si="38"/>
        <v/>
      </c>
      <c r="BH61" s="29" t="str">
        <f t="shared" si="38"/>
        <v/>
      </c>
      <c r="BI61" s="29" t="str">
        <f t="shared" si="38"/>
        <v/>
      </c>
      <c r="BJ61" s="29" t="str">
        <f t="shared" si="38"/>
        <v/>
      </c>
      <c r="BK61" s="29" t="str">
        <f t="shared" si="38"/>
        <v/>
      </c>
      <c r="BL61" s="29" t="str">
        <f t="shared" si="38"/>
        <v/>
      </c>
      <c r="BM61" s="30" t="str">
        <f t="shared" si="38"/>
        <v/>
      </c>
      <c r="BN61" s="11" t="s">
        <v>0</v>
      </c>
    </row>
    <row r="62" spans="1:66" ht="30" customHeight="1" outlineLevel="2">
      <c r="A62" s="243"/>
      <c r="B62" s="36"/>
      <c r="C62" s="37" t="s">
        <v>43</v>
      </c>
      <c r="D62" s="404"/>
      <c r="E62" s="405"/>
      <c r="F62" s="405"/>
      <c r="G62" s="405" t="s">
        <v>224</v>
      </c>
      <c r="H62" s="405"/>
      <c r="I62" s="38"/>
      <c r="J62" s="35" t="s">
        <v>225</v>
      </c>
      <c r="K62" s="32" t="s">
        <v>226</v>
      </c>
      <c r="L62" s="39" t="s">
        <v>179</v>
      </c>
      <c r="M62" s="32" t="s">
        <v>143</v>
      </c>
      <c r="N62" s="22"/>
      <c r="O62" s="32">
        <f t="shared" si="12"/>
        <v>1</v>
      </c>
      <c r="P62" s="32">
        <f t="shared" si="24"/>
        <v>5</v>
      </c>
      <c r="Q62" s="31">
        <v>45786</v>
      </c>
      <c r="R62" s="31">
        <v>45792</v>
      </c>
      <c r="S62" s="22"/>
      <c r="T62" s="32">
        <f t="shared" si="21"/>
        <v>1</v>
      </c>
      <c r="U62" s="32">
        <f t="shared" si="26"/>
        <v>4</v>
      </c>
      <c r="V62" s="53">
        <v>45782</v>
      </c>
      <c r="W62" s="53">
        <v>45785</v>
      </c>
      <c r="X62" s="24"/>
      <c r="Y62" s="239">
        <v>1</v>
      </c>
      <c r="Z62" s="240" t="s">
        <v>227</v>
      </c>
      <c r="AA62" s="240"/>
      <c r="AB62" s="242"/>
      <c r="AC62" s="242"/>
      <c r="AD62" s="28"/>
      <c r="AE62" s="219" t="str">
        <f t="shared" ref="AE62:BM62" si="39">IFERROR(IF(AND($Q62&gt;=(EOMONTH(AE$8,-1)+1),$R62&lt;AF$8,$I62="M"),"u",""),"")</f>
        <v/>
      </c>
      <c r="AF62" s="29" t="str">
        <f t="shared" si="39"/>
        <v/>
      </c>
      <c r="AG62" s="29" t="str">
        <f t="shared" si="39"/>
        <v/>
      </c>
      <c r="AH62" s="29" t="str">
        <f t="shared" si="39"/>
        <v/>
      </c>
      <c r="AI62" s="29" t="str">
        <f t="shared" si="39"/>
        <v/>
      </c>
      <c r="AJ62" s="29" t="str">
        <f t="shared" si="39"/>
        <v/>
      </c>
      <c r="AK62" s="29" t="str">
        <f t="shared" si="39"/>
        <v/>
      </c>
      <c r="AL62" s="29" t="str">
        <f t="shared" si="39"/>
        <v/>
      </c>
      <c r="AM62" s="29" t="str">
        <f t="shared" si="39"/>
        <v/>
      </c>
      <c r="AN62" s="29" t="str">
        <f t="shared" si="39"/>
        <v/>
      </c>
      <c r="AO62" s="29" t="str">
        <f t="shared" si="39"/>
        <v/>
      </c>
      <c r="AP62" s="29" t="str">
        <f t="shared" si="39"/>
        <v/>
      </c>
      <c r="AQ62" s="29" t="str">
        <f t="shared" si="39"/>
        <v/>
      </c>
      <c r="AR62" s="29" t="str">
        <f t="shared" si="39"/>
        <v/>
      </c>
      <c r="AS62" s="29" t="str">
        <f t="shared" si="39"/>
        <v/>
      </c>
      <c r="AT62" s="29" t="str">
        <f t="shared" si="39"/>
        <v/>
      </c>
      <c r="AU62" s="29" t="str">
        <f t="shared" si="39"/>
        <v/>
      </c>
      <c r="AV62" s="29" t="str">
        <f t="shared" si="39"/>
        <v/>
      </c>
      <c r="AW62" s="29" t="str">
        <f t="shared" si="39"/>
        <v/>
      </c>
      <c r="AX62" s="29" t="str">
        <f t="shared" si="39"/>
        <v/>
      </c>
      <c r="AY62" s="29" t="str">
        <f t="shared" si="39"/>
        <v/>
      </c>
      <c r="AZ62" s="29" t="str">
        <f t="shared" si="39"/>
        <v/>
      </c>
      <c r="BA62" s="29" t="str">
        <f t="shared" si="39"/>
        <v/>
      </c>
      <c r="BB62" s="29" t="str">
        <f t="shared" si="39"/>
        <v/>
      </c>
      <c r="BC62" s="29" t="str">
        <f t="shared" si="39"/>
        <v/>
      </c>
      <c r="BD62" s="29" t="str">
        <f t="shared" si="39"/>
        <v/>
      </c>
      <c r="BE62" s="29" t="str">
        <f t="shared" si="39"/>
        <v/>
      </c>
      <c r="BF62" s="29" t="str">
        <f t="shared" si="39"/>
        <v/>
      </c>
      <c r="BG62" s="29" t="str">
        <f t="shared" si="39"/>
        <v/>
      </c>
      <c r="BH62" s="29" t="str">
        <f t="shared" si="39"/>
        <v/>
      </c>
      <c r="BI62" s="29" t="str">
        <f t="shared" si="39"/>
        <v/>
      </c>
      <c r="BJ62" s="29" t="str">
        <f t="shared" si="39"/>
        <v/>
      </c>
      <c r="BK62" s="29" t="str">
        <f t="shared" si="39"/>
        <v/>
      </c>
      <c r="BL62" s="29" t="str">
        <f t="shared" si="39"/>
        <v/>
      </c>
      <c r="BM62" s="30" t="str">
        <f t="shared" si="39"/>
        <v/>
      </c>
      <c r="BN62" s="11" t="s">
        <v>0</v>
      </c>
    </row>
    <row r="63" spans="1:66" ht="30" customHeight="1" outlineLevel="2">
      <c r="A63" s="243"/>
      <c r="B63" s="36"/>
      <c r="C63" s="37" t="s">
        <v>43</v>
      </c>
      <c r="D63" s="404"/>
      <c r="E63" s="405"/>
      <c r="F63" s="405"/>
      <c r="G63" s="405" t="s">
        <v>228</v>
      </c>
      <c r="H63" s="405"/>
      <c r="I63" s="38"/>
      <c r="J63" s="35" t="s">
        <v>229</v>
      </c>
      <c r="K63" s="32" t="s">
        <v>230</v>
      </c>
      <c r="L63" s="39" t="s">
        <v>179</v>
      </c>
      <c r="M63" s="32" t="s">
        <v>38</v>
      </c>
      <c r="N63" s="22"/>
      <c r="O63" s="32">
        <f t="shared" si="12"/>
        <v>1</v>
      </c>
      <c r="P63" s="32">
        <f t="shared" si="24"/>
        <v>6</v>
      </c>
      <c r="Q63" s="31">
        <v>45791</v>
      </c>
      <c r="R63" s="31">
        <v>45798</v>
      </c>
      <c r="S63" s="22"/>
      <c r="T63" s="32">
        <f t="shared" si="21"/>
        <v>1</v>
      </c>
      <c r="U63" s="32">
        <f t="shared" si="26"/>
        <v>5</v>
      </c>
      <c r="V63" s="53">
        <v>45789</v>
      </c>
      <c r="W63" s="53">
        <v>45793</v>
      </c>
      <c r="X63" s="24"/>
      <c r="Y63" s="239">
        <v>1</v>
      </c>
      <c r="Z63" s="240" t="s">
        <v>231</v>
      </c>
      <c r="AA63" s="240"/>
      <c r="AB63" s="242"/>
      <c r="AC63" s="242"/>
      <c r="AD63" s="28"/>
      <c r="AE63" s="219" t="str">
        <f t="shared" ref="AE63:BM63" si="40">IFERROR(IF(AND($Q63&gt;=(EOMONTH(AE$8,-1)+1),$R63&lt;AF$8,$I63="M"),"u",""),"")</f>
        <v/>
      </c>
      <c r="AF63" s="29" t="str">
        <f t="shared" si="40"/>
        <v/>
      </c>
      <c r="AG63" s="29" t="str">
        <f t="shared" si="40"/>
        <v/>
      </c>
      <c r="AH63" s="29" t="str">
        <f t="shared" si="40"/>
        <v/>
      </c>
      <c r="AI63" s="29" t="str">
        <f t="shared" si="40"/>
        <v/>
      </c>
      <c r="AJ63" s="29" t="str">
        <f t="shared" si="40"/>
        <v/>
      </c>
      <c r="AK63" s="29" t="str">
        <f t="shared" si="40"/>
        <v/>
      </c>
      <c r="AL63" s="29" t="str">
        <f t="shared" si="40"/>
        <v/>
      </c>
      <c r="AM63" s="29" t="str">
        <f t="shared" si="40"/>
        <v/>
      </c>
      <c r="AN63" s="29" t="str">
        <f t="shared" si="40"/>
        <v/>
      </c>
      <c r="AO63" s="29" t="str">
        <f t="shared" si="40"/>
        <v/>
      </c>
      <c r="AP63" s="29" t="str">
        <f t="shared" si="40"/>
        <v/>
      </c>
      <c r="AQ63" s="29" t="str">
        <f t="shared" si="40"/>
        <v/>
      </c>
      <c r="AR63" s="29" t="str">
        <f t="shared" si="40"/>
        <v/>
      </c>
      <c r="AS63" s="29" t="str">
        <f t="shared" si="40"/>
        <v/>
      </c>
      <c r="AT63" s="29" t="str">
        <f t="shared" si="40"/>
        <v/>
      </c>
      <c r="AU63" s="29" t="str">
        <f t="shared" si="40"/>
        <v/>
      </c>
      <c r="AV63" s="29" t="str">
        <f t="shared" si="40"/>
        <v/>
      </c>
      <c r="AW63" s="29" t="str">
        <f t="shared" si="40"/>
        <v/>
      </c>
      <c r="AX63" s="29" t="str">
        <f t="shared" si="40"/>
        <v/>
      </c>
      <c r="AY63" s="29" t="str">
        <f t="shared" si="40"/>
        <v/>
      </c>
      <c r="AZ63" s="29" t="str">
        <f t="shared" si="40"/>
        <v/>
      </c>
      <c r="BA63" s="29" t="str">
        <f t="shared" si="40"/>
        <v/>
      </c>
      <c r="BB63" s="29" t="str">
        <f t="shared" si="40"/>
        <v/>
      </c>
      <c r="BC63" s="29" t="str">
        <f t="shared" si="40"/>
        <v/>
      </c>
      <c r="BD63" s="29" t="str">
        <f t="shared" si="40"/>
        <v/>
      </c>
      <c r="BE63" s="29" t="str">
        <f t="shared" si="40"/>
        <v/>
      </c>
      <c r="BF63" s="29" t="str">
        <f t="shared" si="40"/>
        <v/>
      </c>
      <c r="BG63" s="29" t="str">
        <f t="shared" si="40"/>
        <v/>
      </c>
      <c r="BH63" s="29" t="str">
        <f t="shared" si="40"/>
        <v/>
      </c>
      <c r="BI63" s="29" t="str">
        <f t="shared" si="40"/>
        <v/>
      </c>
      <c r="BJ63" s="29" t="str">
        <f t="shared" si="40"/>
        <v/>
      </c>
      <c r="BK63" s="29" t="str">
        <f t="shared" si="40"/>
        <v/>
      </c>
      <c r="BL63" s="29" t="str">
        <f t="shared" si="40"/>
        <v/>
      </c>
      <c r="BM63" s="30" t="str">
        <f t="shared" si="40"/>
        <v/>
      </c>
      <c r="BN63" s="11" t="s">
        <v>0</v>
      </c>
    </row>
    <row r="64" spans="1:66" ht="30" customHeight="1" outlineLevel="1">
      <c r="A64" s="230"/>
      <c r="B64" s="231" t="s">
        <v>39</v>
      </c>
      <c r="C64" s="232"/>
      <c r="D64" s="233"/>
      <c r="E64" s="234"/>
      <c r="F64" s="234" t="s">
        <v>232</v>
      </c>
      <c r="G64" s="234"/>
      <c r="H64" s="234"/>
      <c r="I64" s="235"/>
      <c r="J64" s="252" t="s">
        <v>233</v>
      </c>
      <c r="K64" s="236" t="s">
        <v>234</v>
      </c>
      <c r="L64" s="237"/>
      <c r="M64" s="235"/>
      <c r="N64" s="49"/>
      <c r="O64" s="32">
        <f t="shared" si="12"/>
        <v>1</v>
      </c>
      <c r="P64" s="32">
        <f t="shared" si="24"/>
        <v>6</v>
      </c>
      <c r="Q64" s="253">
        <f>MIN(Q65:Q66)</f>
        <v>45797</v>
      </c>
      <c r="R64" s="253">
        <f>MAX(R65:R66)</f>
        <v>45804</v>
      </c>
      <c r="S64" s="49"/>
      <c r="T64" s="32">
        <f t="shared" si="21"/>
        <v>1</v>
      </c>
      <c r="U64" s="32">
        <f t="shared" si="26"/>
        <v>11</v>
      </c>
      <c r="V64" s="31">
        <f>MIN(V65:V69)</f>
        <v>45793</v>
      </c>
      <c r="W64" s="31">
        <f>MAX(W65:W69)</f>
        <v>45807</v>
      </c>
      <c r="X64" s="50"/>
      <c r="Y64" s="239">
        <f>AVERAGE(Y65:Y69)</f>
        <v>1</v>
      </c>
      <c r="Z64" s="240"/>
      <c r="AA64" s="240"/>
      <c r="AB64" s="242"/>
      <c r="AC64" s="242"/>
      <c r="AD64" s="28"/>
      <c r="AE64" s="254" t="str">
        <f t="shared" ref="AE64:BM64" si="41">IFERROR(IF(AND($Q64&gt;=(EOMONTH(AE$8,-1)+1),$R64&lt;AF$8,$I64="M"),"u",""),"")</f>
        <v/>
      </c>
      <c r="AF64" s="51" t="str">
        <f t="shared" si="41"/>
        <v/>
      </c>
      <c r="AG64" s="51" t="str">
        <f t="shared" si="41"/>
        <v/>
      </c>
      <c r="AH64" s="51" t="str">
        <f t="shared" si="41"/>
        <v/>
      </c>
      <c r="AI64" s="51" t="str">
        <f t="shared" si="41"/>
        <v/>
      </c>
      <c r="AJ64" s="51" t="str">
        <f t="shared" si="41"/>
        <v/>
      </c>
      <c r="AK64" s="51" t="str">
        <f t="shared" si="41"/>
        <v/>
      </c>
      <c r="AL64" s="51" t="str">
        <f t="shared" si="41"/>
        <v/>
      </c>
      <c r="AM64" s="51" t="str">
        <f t="shared" si="41"/>
        <v/>
      </c>
      <c r="AN64" s="51" t="str">
        <f t="shared" si="41"/>
        <v/>
      </c>
      <c r="AO64" s="51" t="str">
        <f t="shared" si="41"/>
        <v/>
      </c>
      <c r="AP64" s="51" t="str">
        <f t="shared" si="41"/>
        <v/>
      </c>
      <c r="AQ64" s="51" t="str">
        <f t="shared" si="41"/>
        <v/>
      </c>
      <c r="AR64" s="51" t="str">
        <f t="shared" si="41"/>
        <v/>
      </c>
      <c r="AS64" s="51" t="str">
        <f t="shared" si="41"/>
        <v/>
      </c>
      <c r="AT64" s="51" t="str">
        <f t="shared" si="41"/>
        <v/>
      </c>
      <c r="AU64" s="51" t="str">
        <f t="shared" si="41"/>
        <v/>
      </c>
      <c r="AV64" s="51" t="str">
        <f t="shared" si="41"/>
        <v/>
      </c>
      <c r="AW64" s="51" t="str">
        <f t="shared" si="41"/>
        <v/>
      </c>
      <c r="AX64" s="51" t="str">
        <f t="shared" si="41"/>
        <v/>
      </c>
      <c r="AY64" s="51" t="str">
        <f t="shared" si="41"/>
        <v/>
      </c>
      <c r="AZ64" s="51" t="str">
        <f t="shared" si="41"/>
        <v/>
      </c>
      <c r="BA64" s="51" t="str">
        <f t="shared" si="41"/>
        <v/>
      </c>
      <c r="BB64" s="51" t="str">
        <f t="shared" si="41"/>
        <v/>
      </c>
      <c r="BC64" s="51" t="str">
        <f t="shared" si="41"/>
        <v/>
      </c>
      <c r="BD64" s="51" t="str">
        <f t="shared" si="41"/>
        <v/>
      </c>
      <c r="BE64" s="51" t="str">
        <f t="shared" si="41"/>
        <v/>
      </c>
      <c r="BF64" s="51" t="str">
        <f t="shared" si="41"/>
        <v/>
      </c>
      <c r="BG64" s="51" t="str">
        <f t="shared" si="41"/>
        <v/>
      </c>
      <c r="BH64" s="51" t="str">
        <f t="shared" si="41"/>
        <v/>
      </c>
      <c r="BI64" s="51" t="str">
        <f t="shared" si="41"/>
        <v/>
      </c>
      <c r="BJ64" s="51" t="str">
        <f t="shared" si="41"/>
        <v/>
      </c>
      <c r="BK64" s="51" t="str">
        <f t="shared" si="41"/>
        <v/>
      </c>
      <c r="BL64" s="51" t="str">
        <f t="shared" si="41"/>
        <v/>
      </c>
      <c r="BM64" s="52" t="str">
        <f t="shared" si="41"/>
        <v/>
      </c>
      <c r="BN64" s="11" t="s">
        <v>0</v>
      </c>
    </row>
    <row r="65" spans="1:66" ht="30" customHeight="1" outlineLevel="2">
      <c r="A65" s="243"/>
      <c r="B65" s="36"/>
      <c r="C65" s="37" t="s">
        <v>43</v>
      </c>
      <c r="D65" s="12"/>
      <c r="E65" s="35"/>
      <c r="F65" s="35"/>
      <c r="G65" s="35" t="s">
        <v>235</v>
      </c>
      <c r="H65" s="35"/>
      <c r="I65" s="38"/>
      <c r="J65" s="35" t="s">
        <v>236</v>
      </c>
      <c r="K65" s="32" t="s">
        <v>237</v>
      </c>
      <c r="L65" s="39" t="s">
        <v>143</v>
      </c>
      <c r="M65" s="32" t="s">
        <v>148</v>
      </c>
      <c r="N65" s="49"/>
      <c r="O65" s="32">
        <f t="shared" si="12"/>
        <v>1</v>
      </c>
      <c r="P65" s="32">
        <f t="shared" si="24"/>
        <v>3</v>
      </c>
      <c r="Q65" s="31">
        <v>45797</v>
      </c>
      <c r="R65" s="31">
        <v>45799</v>
      </c>
      <c r="S65" s="49"/>
      <c r="T65" s="32">
        <f t="shared" si="21"/>
        <v>1</v>
      </c>
      <c r="U65" s="32">
        <f t="shared" si="26"/>
        <v>2</v>
      </c>
      <c r="V65" s="53">
        <v>45793</v>
      </c>
      <c r="W65" s="53">
        <v>45796</v>
      </c>
      <c r="X65" s="50"/>
      <c r="Y65" s="239">
        <v>1</v>
      </c>
      <c r="Z65" s="240" t="s">
        <v>238</v>
      </c>
      <c r="AA65" s="240"/>
      <c r="AB65" s="242"/>
      <c r="AC65" s="242"/>
      <c r="AD65" s="28"/>
      <c r="AE65" s="254" t="str">
        <f t="shared" ref="AE65:BM65" si="42">IFERROR(IF(AND($Q65&gt;=(EOMONTH(AE$8,-1)+1),$R65&lt;AF$8,$I65="M"),"u",""),"")</f>
        <v/>
      </c>
      <c r="AF65" s="51" t="str">
        <f t="shared" si="42"/>
        <v/>
      </c>
      <c r="AG65" s="51" t="str">
        <f t="shared" si="42"/>
        <v/>
      </c>
      <c r="AH65" s="51" t="str">
        <f t="shared" si="42"/>
        <v/>
      </c>
      <c r="AI65" s="51" t="str">
        <f t="shared" si="42"/>
        <v/>
      </c>
      <c r="AJ65" s="51" t="str">
        <f t="shared" si="42"/>
        <v/>
      </c>
      <c r="AK65" s="51" t="str">
        <f t="shared" si="42"/>
        <v/>
      </c>
      <c r="AL65" s="51" t="str">
        <f t="shared" si="42"/>
        <v/>
      </c>
      <c r="AM65" s="51" t="str">
        <f t="shared" si="42"/>
        <v/>
      </c>
      <c r="AN65" s="51" t="str">
        <f t="shared" si="42"/>
        <v/>
      </c>
      <c r="AO65" s="51" t="str">
        <f t="shared" si="42"/>
        <v/>
      </c>
      <c r="AP65" s="51" t="str">
        <f t="shared" si="42"/>
        <v/>
      </c>
      <c r="AQ65" s="51" t="str">
        <f t="shared" si="42"/>
        <v/>
      </c>
      <c r="AR65" s="51" t="str">
        <f t="shared" si="42"/>
        <v/>
      </c>
      <c r="AS65" s="51" t="str">
        <f t="shared" si="42"/>
        <v/>
      </c>
      <c r="AT65" s="51" t="str">
        <f t="shared" si="42"/>
        <v/>
      </c>
      <c r="AU65" s="51" t="str">
        <f t="shared" si="42"/>
        <v/>
      </c>
      <c r="AV65" s="51" t="str">
        <f t="shared" si="42"/>
        <v/>
      </c>
      <c r="AW65" s="51" t="str">
        <f t="shared" si="42"/>
        <v/>
      </c>
      <c r="AX65" s="51" t="str">
        <f t="shared" si="42"/>
        <v/>
      </c>
      <c r="AY65" s="51" t="str">
        <f t="shared" si="42"/>
        <v/>
      </c>
      <c r="AZ65" s="51" t="str">
        <f t="shared" si="42"/>
        <v/>
      </c>
      <c r="BA65" s="51" t="str">
        <f t="shared" si="42"/>
        <v/>
      </c>
      <c r="BB65" s="51" t="str">
        <f t="shared" si="42"/>
        <v/>
      </c>
      <c r="BC65" s="51" t="str">
        <f t="shared" si="42"/>
        <v/>
      </c>
      <c r="BD65" s="51" t="str">
        <f t="shared" si="42"/>
        <v/>
      </c>
      <c r="BE65" s="51" t="str">
        <f t="shared" si="42"/>
        <v/>
      </c>
      <c r="BF65" s="51" t="str">
        <f t="shared" si="42"/>
        <v/>
      </c>
      <c r="BG65" s="51" t="str">
        <f t="shared" si="42"/>
        <v/>
      </c>
      <c r="BH65" s="51" t="str">
        <f t="shared" si="42"/>
        <v/>
      </c>
      <c r="BI65" s="51" t="str">
        <f t="shared" si="42"/>
        <v/>
      </c>
      <c r="BJ65" s="51" t="str">
        <f t="shared" si="42"/>
        <v/>
      </c>
      <c r="BK65" s="51" t="str">
        <f t="shared" si="42"/>
        <v/>
      </c>
      <c r="BL65" s="51" t="str">
        <f t="shared" si="42"/>
        <v/>
      </c>
      <c r="BM65" s="52" t="str">
        <f t="shared" si="42"/>
        <v/>
      </c>
      <c r="BN65" s="11" t="s">
        <v>0</v>
      </c>
    </row>
    <row r="66" spans="1:66" ht="30" customHeight="1" outlineLevel="2">
      <c r="A66" s="243"/>
      <c r="B66" s="36"/>
      <c r="C66" s="37" t="s">
        <v>43</v>
      </c>
      <c r="D66" s="12"/>
      <c r="E66" s="35"/>
      <c r="F66" s="35"/>
      <c r="G66" s="35" t="s">
        <v>239</v>
      </c>
      <c r="H66" s="35"/>
      <c r="I66" s="38"/>
      <c r="J66" s="35" t="s">
        <v>240</v>
      </c>
      <c r="K66" s="32" t="s">
        <v>241</v>
      </c>
      <c r="L66" s="39" t="s">
        <v>143</v>
      </c>
      <c r="M66" s="32" t="s">
        <v>99</v>
      </c>
      <c r="N66" s="49"/>
      <c r="O66" s="32">
        <f t="shared" si="12"/>
        <v>1</v>
      </c>
      <c r="P66" s="32">
        <f t="shared" si="24"/>
        <v>3</v>
      </c>
      <c r="Q66" s="31">
        <v>45800</v>
      </c>
      <c r="R66" s="31">
        <v>45804</v>
      </c>
      <c r="S66" s="49"/>
      <c r="T66" s="32">
        <f t="shared" si="21"/>
        <v>1</v>
      </c>
      <c r="U66" s="32">
        <f t="shared" si="26"/>
        <v>2</v>
      </c>
      <c r="V66" s="53">
        <v>45797</v>
      </c>
      <c r="W66" s="53">
        <v>45798</v>
      </c>
      <c r="X66" s="50"/>
      <c r="Y66" s="239">
        <v>1</v>
      </c>
      <c r="Z66" s="240" t="s">
        <v>242</v>
      </c>
      <c r="AA66" s="240"/>
      <c r="AB66" s="242"/>
      <c r="AC66" s="242"/>
      <c r="AD66" s="28"/>
      <c r="AE66" s="254"/>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2"/>
      <c r="BN66" s="11"/>
    </row>
    <row r="67" spans="1:66" ht="30" customHeight="1" outlineLevel="2">
      <c r="A67" s="243"/>
      <c r="B67" s="36"/>
      <c r="C67" s="37" t="s">
        <v>43</v>
      </c>
      <c r="D67" s="12"/>
      <c r="E67" s="35"/>
      <c r="F67" s="35"/>
      <c r="G67" s="35" t="s">
        <v>243</v>
      </c>
      <c r="H67" s="35"/>
      <c r="I67" s="38"/>
      <c r="J67" s="35" t="s">
        <v>244</v>
      </c>
      <c r="K67" s="32" t="s">
        <v>245</v>
      </c>
      <c r="L67" s="39" t="s">
        <v>143</v>
      </c>
      <c r="M67" s="32" t="s">
        <v>38</v>
      </c>
      <c r="N67" s="49"/>
      <c r="O67" s="32">
        <f t="shared" si="12"/>
        <v>1</v>
      </c>
      <c r="P67" s="32">
        <f t="shared" si="24"/>
        <v>3</v>
      </c>
      <c r="Q67" s="31">
        <v>45805</v>
      </c>
      <c r="R67" s="31">
        <v>45809</v>
      </c>
      <c r="S67" s="49"/>
      <c r="T67" s="32">
        <f t="shared" si="21"/>
        <v>1</v>
      </c>
      <c r="U67" s="32">
        <f t="shared" si="26"/>
        <v>2</v>
      </c>
      <c r="V67" s="53">
        <v>45800</v>
      </c>
      <c r="W67" s="53">
        <v>45803</v>
      </c>
      <c r="X67" s="50"/>
      <c r="Y67" s="239">
        <v>1</v>
      </c>
      <c r="Z67" s="240" t="s">
        <v>246</v>
      </c>
      <c r="AA67" s="240"/>
      <c r="AB67" s="242"/>
      <c r="AC67" s="242"/>
      <c r="AD67" s="28"/>
      <c r="AE67" s="254"/>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2"/>
      <c r="BN67" s="11"/>
    </row>
    <row r="68" spans="1:66" ht="30" customHeight="1" outlineLevel="2">
      <c r="A68" s="243"/>
      <c r="B68" s="36"/>
      <c r="C68" s="37" t="s">
        <v>43</v>
      </c>
      <c r="D68" s="12"/>
      <c r="E68" s="35"/>
      <c r="F68" s="35"/>
      <c r="G68" s="35" t="s">
        <v>247</v>
      </c>
      <c r="H68" s="35"/>
      <c r="I68" s="38"/>
      <c r="J68" s="35" t="s">
        <v>248</v>
      </c>
      <c r="K68" s="32" t="s">
        <v>249</v>
      </c>
      <c r="L68" s="39" t="s">
        <v>143</v>
      </c>
      <c r="M68" s="32" t="s">
        <v>38</v>
      </c>
      <c r="N68" s="49"/>
      <c r="O68" s="32">
        <f t="shared" si="12"/>
        <v>1</v>
      </c>
      <c r="P68" s="32">
        <f t="shared" si="24"/>
        <v>3</v>
      </c>
      <c r="Q68" s="31">
        <v>45810</v>
      </c>
      <c r="R68" s="31">
        <v>45812</v>
      </c>
      <c r="S68" s="49"/>
      <c r="T68" s="32">
        <f t="shared" si="21"/>
        <v>1</v>
      </c>
      <c r="U68" s="32">
        <f t="shared" si="26"/>
        <v>3</v>
      </c>
      <c r="V68" s="53">
        <v>45804</v>
      </c>
      <c r="W68" s="53">
        <v>45806</v>
      </c>
      <c r="X68" s="50"/>
      <c r="Y68" s="239">
        <v>1</v>
      </c>
      <c r="Z68" s="240" t="s">
        <v>250</v>
      </c>
      <c r="AA68" s="240"/>
      <c r="AB68" s="242"/>
      <c r="AC68" s="242"/>
      <c r="AD68" s="28"/>
      <c r="AE68" s="254"/>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2"/>
      <c r="BN68" s="11"/>
    </row>
    <row r="69" spans="1:66" ht="21" customHeight="1" outlineLevel="2">
      <c r="A69" s="243"/>
      <c r="B69" s="36"/>
      <c r="C69" s="37" t="s">
        <v>43</v>
      </c>
      <c r="D69" s="12"/>
      <c r="E69" s="35"/>
      <c r="F69" s="35"/>
      <c r="G69" s="35" t="s">
        <v>251</v>
      </c>
      <c r="H69" s="35"/>
      <c r="I69" s="38"/>
      <c r="J69" s="35" t="s">
        <v>252</v>
      </c>
      <c r="K69" s="32" t="s">
        <v>253</v>
      </c>
      <c r="L69" s="39" t="s">
        <v>143</v>
      </c>
      <c r="M69" s="32" t="s">
        <v>38</v>
      </c>
      <c r="N69" s="49"/>
      <c r="O69" s="32">
        <f t="shared" si="12"/>
        <v>1</v>
      </c>
      <c r="P69" s="32">
        <f t="shared" si="24"/>
        <v>2</v>
      </c>
      <c r="Q69" s="31">
        <v>45813</v>
      </c>
      <c r="R69" s="31">
        <v>45815</v>
      </c>
      <c r="S69" s="49"/>
      <c r="T69" s="32">
        <f t="shared" si="21"/>
        <v>1</v>
      </c>
      <c r="U69" s="32">
        <f t="shared" si="26"/>
        <v>3</v>
      </c>
      <c r="V69" s="53">
        <v>45805</v>
      </c>
      <c r="W69" s="53">
        <v>45807</v>
      </c>
      <c r="X69" s="50"/>
      <c r="Y69" s="239">
        <v>1</v>
      </c>
      <c r="Z69" s="240" t="s">
        <v>254</v>
      </c>
      <c r="AA69" s="240"/>
      <c r="AB69" s="242"/>
      <c r="AC69" s="242"/>
      <c r="AD69" s="28"/>
      <c r="AE69" s="254"/>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2"/>
      <c r="BN69" s="11"/>
    </row>
    <row r="70" spans="1:66" ht="57" customHeight="1" outlineLevel="1">
      <c r="A70" s="207"/>
      <c r="B70" s="208"/>
      <c r="C70" s="209"/>
      <c r="D70" s="210" t="s">
        <v>255</v>
      </c>
      <c r="E70" s="208"/>
      <c r="F70" s="208"/>
      <c r="G70" s="208"/>
      <c r="H70" s="208"/>
      <c r="I70" s="212"/>
      <c r="J70" s="255" t="s">
        <v>256</v>
      </c>
      <c r="K70" s="255" t="s">
        <v>257</v>
      </c>
      <c r="L70" s="255" t="s">
        <v>99</v>
      </c>
      <c r="M70" s="255" t="s">
        <v>179</v>
      </c>
      <c r="N70" s="22"/>
      <c r="O70" s="400">
        <f t="shared" si="12"/>
        <v>2</v>
      </c>
      <c r="P70" s="402">
        <f>IF(Q70=0,"",R70-Q70)</f>
        <v>60</v>
      </c>
      <c r="Q70" s="246">
        <f>MIN(Q71)</f>
        <v>45805</v>
      </c>
      <c r="R70" s="246">
        <f>MAX(R71)</f>
        <v>45865</v>
      </c>
      <c r="S70" s="22"/>
      <c r="T70" s="32">
        <f t="shared" si="21"/>
        <v>2</v>
      </c>
      <c r="U70" s="32">
        <f t="shared" si="26"/>
        <v>43</v>
      </c>
      <c r="V70" s="238">
        <f>MIN(V71)</f>
        <v>45805</v>
      </c>
      <c r="W70" s="238">
        <f>MAX(W71)</f>
        <v>45865</v>
      </c>
      <c r="X70" s="24"/>
      <c r="Y70" s="217">
        <f>AVERAGE(Y72,Y77,Y81)</f>
        <v>1</v>
      </c>
      <c r="Z70" s="213"/>
      <c r="AA70" s="213"/>
      <c r="AB70" s="218"/>
      <c r="AC70" s="218"/>
      <c r="AD70" s="28"/>
      <c r="AE70" s="219" t="str">
        <f t="shared" ref="AE70:BM70" si="43">IFERROR(IF(AND($Q70&gt;=(EOMONTH(AE$8,-1)+1),$R70&lt;AF$8,$I70="M"),"u",""),"")</f>
        <v/>
      </c>
      <c r="AF70" s="29" t="str">
        <f t="shared" si="43"/>
        <v/>
      </c>
      <c r="AG70" s="29" t="str">
        <f t="shared" si="43"/>
        <v/>
      </c>
      <c r="AH70" s="29" t="str">
        <f t="shared" si="43"/>
        <v/>
      </c>
      <c r="AI70" s="29" t="str">
        <f t="shared" si="43"/>
        <v/>
      </c>
      <c r="AJ70" s="29" t="str">
        <f t="shared" si="43"/>
        <v/>
      </c>
      <c r="AK70" s="29" t="str">
        <f t="shared" si="43"/>
        <v/>
      </c>
      <c r="AL70" s="29" t="str">
        <f t="shared" si="43"/>
        <v/>
      </c>
      <c r="AM70" s="29" t="str">
        <f t="shared" si="43"/>
        <v/>
      </c>
      <c r="AN70" s="29" t="str">
        <f t="shared" si="43"/>
        <v/>
      </c>
      <c r="AO70" s="29" t="str">
        <f t="shared" si="43"/>
        <v/>
      </c>
      <c r="AP70" s="29" t="str">
        <f t="shared" si="43"/>
        <v/>
      </c>
      <c r="AQ70" s="29" t="str">
        <f t="shared" si="43"/>
        <v/>
      </c>
      <c r="AR70" s="29" t="str">
        <f t="shared" si="43"/>
        <v/>
      </c>
      <c r="AS70" s="29" t="str">
        <f t="shared" si="43"/>
        <v/>
      </c>
      <c r="AT70" s="29" t="str">
        <f t="shared" si="43"/>
        <v/>
      </c>
      <c r="AU70" s="29" t="str">
        <f t="shared" si="43"/>
        <v/>
      </c>
      <c r="AV70" s="29" t="str">
        <f t="shared" si="43"/>
        <v/>
      </c>
      <c r="AW70" s="29" t="str">
        <f t="shared" si="43"/>
        <v/>
      </c>
      <c r="AX70" s="29" t="str">
        <f t="shared" si="43"/>
        <v/>
      </c>
      <c r="AY70" s="29" t="str">
        <f t="shared" si="43"/>
        <v/>
      </c>
      <c r="AZ70" s="29" t="str">
        <f t="shared" si="43"/>
        <v/>
      </c>
      <c r="BA70" s="29" t="str">
        <f t="shared" si="43"/>
        <v/>
      </c>
      <c r="BB70" s="29" t="str">
        <f t="shared" si="43"/>
        <v/>
      </c>
      <c r="BC70" s="29" t="str">
        <f t="shared" si="43"/>
        <v/>
      </c>
      <c r="BD70" s="29" t="str">
        <f t="shared" si="43"/>
        <v/>
      </c>
      <c r="BE70" s="29" t="str">
        <f t="shared" si="43"/>
        <v/>
      </c>
      <c r="BF70" s="29" t="str">
        <f t="shared" si="43"/>
        <v/>
      </c>
      <c r="BG70" s="29" t="str">
        <f t="shared" si="43"/>
        <v/>
      </c>
      <c r="BH70" s="29" t="str">
        <f t="shared" si="43"/>
        <v/>
      </c>
      <c r="BI70" s="29" t="str">
        <f t="shared" si="43"/>
        <v/>
      </c>
      <c r="BJ70" s="29" t="str">
        <f t="shared" si="43"/>
        <v/>
      </c>
      <c r="BK70" s="29" t="str">
        <f t="shared" si="43"/>
        <v/>
      </c>
      <c r="BL70" s="29" t="str">
        <f t="shared" si="43"/>
        <v/>
      </c>
      <c r="BM70" s="30" t="str">
        <f t="shared" si="43"/>
        <v/>
      </c>
      <c r="BN70" s="11" t="s">
        <v>0</v>
      </c>
    </row>
    <row r="71" spans="1:66" ht="30" customHeight="1" outlineLevel="1">
      <c r="A71" s="220" t="s">
        <v>34</v>
      </c>
      <c r="B71" s="221"/>
      <c r="C71" s="222"/>
      <c r="D71" s="223"/>
      <c r="E71" s="223" t="s">
        <v>258</v>
      </c>
      <c r="F71" s="223"/>
      <c r="G71" s="223"/>
      <c r="H71" s="223"/>
      <c r="I71" s="224"/>
      <c r="J71" s="227"/>
      <c r="K71" s="244"/>
      <c r="L71" s="54"/>
      <c r="M71" s="225"/>
      <c r="N71" s="22"/>
      <c r="O71" s="32">
        <f t="shared" si="12"/>
        <v>2</v>
      </c>
      <c r="P71" s="32">
        <f t="shared" ref="P71:P85" si="44">NETWORKDAYS(Q71,R71)</f>
        <v>43</v>
      </c>
      <c r="Q71" s="44">
        <f>MIN(Q73:Q85)</f>
        <v>45805</v>
      </c>
      <c r="R71" s="44">
        <f>MAX(R73:R85)</f>
        <v>45865</v>
      </c>
      <c r="S71" s="22"/>
      <c r="T71" s="32">
        <f t="shared" si="21"/>
        <v>2</v>
      </c>
      <c r="U71" s="32">
        <f t="shared" si="26"/>
        <v>43</v>
      </c>
      <c r="V71" s="238">
        <f>MIN(V72:V85)</f>
        <v>45805</v>
      </c>
      <c r="W71" s="238">
        <f>MAX(W72:W85)</f>
        <v>45865</v>
      </c>
      <c r="X71" s="24"/>
      <c r="Y71" s="239">
        <f>AVERAGE(Y72,Y77,Y81)</f>
        <v>1</v>
      </c>
      <c r="Z71" s="227"/>
      <c r="AA71" s="227"/>
      <c r="AB71" s="228"/>
      <c r="AC71" s="228"/>
      <c r="AD71" s="3"/>
      <c r="AE71" s="229"/>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4"/>
      <c r="BN71" s="11"/>
    </row>
    <row r="72" spans="1:66" ht="30" customHeight="1" outlineLevel="2">
      <c r="A72" s="243"/>
      <c r="B72" s="36" t="s">
        <v>39</v>
      </c>
      <c r="C72" s="37"/>
      <c r="D72" s="12"/>
      <c r="E72" s="35"/>
      <c r="F72" s="35" t="s">
        <v>259</v>
      </c>
      <c r="G72" s="35"/>
      <c r="H72" s="35"/>
      <c r="I72" s="38"/>
      <c r="J72" s="35" t="s">
        <v>260</v>
      </c>
      <c r="K72" s="32" t="s">
        <v>261</v>
      </c>
      <c r="L72" s="39"/>
      <c r="M72" s="32"/>
      <c r="N72" s="22"/>
      <c r="O72" s="32">
        <f t="shared" si="12"/>
        <v>1</v>
      </c>
      <c r="P72" s="32">
        <f t="shared" si="44"/>
        <v>14</v>
      </c>
      <c r="Q72" s="31">
        <f>MIN(Q73:Q76)</f>
        <v>45805</v>
      </c>
      <c r="R72" s="31">
        <f>MAX(R73:R76)</f>
        <v>45824</v>
      </c>
      <c r="S72" s="22"/>
      <c r="T72" s="32">
        <f t="shared" si="21"/>
        <v>1</v>
      </c>
      <c r="U72" s="32">
        <f>NETWORKDAYS(MIN(V72,W72),MAX(V72,W72))</f>
        <v>7</v>
      </c>
      <c r="V72" s="31">
        <f>MIN(V73:V75)</f>
        <v>45805</v>
      </c>
      <c r="W72" s="31">
        <f>MAX(W73:W75)</f>
        <v>45813</v>
      </c>
      <c r="X72" s="24"/>
      <c r="Y72" s="239">
        <f>AVERAGE(Y73:Y76)</f>
        <v>1</v>
      </c>
      <c r="Z72" s="227"/>
      <c r="AA72" s="227"/>
      <c r="AB72" s="228"/>
      <c r="AC72" s="228"/>
      <c r="AD72" s="3"/>
      <c r="AE72" s="229" t="str">
        <f t="shared" ref="AE72:BM72" si="45">IFERROR(IF(AND($Q72&gt;=(EOMONTH(AE$8,-1)+1),$R72&lt;AF$8,$I72="M"),"u",""),"")</f>
        <v/>
      </c>
      <c r="AF72" s="33" t="str">
        <f t="shared" si="45"/>
        <v/>
      </c>
      <c r="AG72" s="33" t="str">
        <f t="shared" si="45"/>
        <v/>
      </c>
      <c r="AH72" s="33" t="str">
        <f t="shared" si="45"/>
        <v/>
      </c>
      <c r="AI72" s="33" t="str">
        <f t="shared" si="45"/>
        <v/>
      </c>
      <c r="AJ72" s="33" t="str">
        <f t="shared" si="45"/>
        <v/>
      </c>
      <c r="AK72" s="33" t="str">
        <f t="shared" si="45"/>
        <v/>
      </c>
      <c r="AL72" s="33" t="str">
        <f t="shared" si="45"/>
        <v/>
      </c>
      <c r="AM72" s="33" t="str">
        <f t="shared" si="45"/>
        <v/>
      </c>
      <c r="AN72" s="33" t="str">
        <f t="shared" si="45"/>
        <v/>
      </c>
      <c r="AO72" s="33" t="str">
        <f t="shared" si="45"/>
        <v/>
      </c>
      <c r="AP72" s="33" t="str">
        <f t="shared" si="45"/>
        <v/>
      </c>
      <c r="AQ72" s="33" t="str">
        <f t="shared" si="45"/>
        <v/>
      </c>
      <c r="AR72" s="33" t="str">
        <f t="shared" si="45"/>
        <v/>
      </c>
      <c r="AS72" s="33" t="str">
        <f t="shared" si="45"/>
        <v/>
      </c>
      <c r="AT72" s="33" t="str">
        <f t="shared" si="45"/>
        <v/>
      </c>
      <c r="AU72" s="33" t="str">
        <f t="shared" si="45"/>
        <v/>
      </c>
      <c r="AV72" s="33" t="str">
        <f t="shared" si="45"/>
        <v/>
      </c>
      <c r="AW72" s="33" t="str">
        <f t="shared" si="45"/>
        <v/>
      </c>
      <c r="AX72" s="33" t="str">
        <f t="shared" si="45"/>
        <v/>
      </c>
      <c r="AY72" s="33" t="str">
        <f t="shared" si="45"/>
        <v/>
      </c>
      <c r="AZ72" s="33" t="str">
        <f t="shared" si="45"/>
        <v/>
      </c>
      <c r="BA72" s="33" t="str">
        <f t="shared" si="45"/>
        <v/>
      </c>
      <c r="BB72" s="33" t="str">
        <f t="shared" si="45"/>
        <v/>
      </c>
      <c r="BC72" s="33" t="str">
        <f t="shared" si="45"/>
        <v/>
      </c>
      <c r="BD72" s="33" t="str">
        <f t="shared" si="45"/>
        <v/>
      </c>
      <c r="BE72" s="33" t="str">
        <f t="shared" si="45"/>
        <v/>
      </c>
      <c r="BF72" s="33" t="str">
        <f t="shared" si="45"/>
        <v/>
      </c>
      <c r="BG72" s="33" t="str">
        <f t="shared" si="45"/>
        <v/>
      </c>
      <c r="BH72" s="33" t="str">
        <f t="shared" si="45"/>
        <v/>
      </c>
      <c r="BI72" s="33" t="str">
        <f t="shared" si="45"/>
        <v/>
      </c>
      <c r="BJ72" s="33" t="str">
        <f t="shared" si="45"/>
        <v/>
      </c>
      <c r="BK72" s="33" t="str">
        <f t="shared" si="45"/>
        <v/>
      </c>
      <c r="BL72" s="33" t="str">
        <f t="shared" si="45"/>
        <v/>
      </c>
      <c r="BM72" s="34" t="str">
        <f t="shared" si="45"/>
        <v/>
      </c>
      <c r="BN72" s="11" t="s">
        <v>0</v>
      </c>
    </row>
    <row r="73" spans="1:66" ht="30" customHeight="1" outlineLevel="3">
      <c r="A73" s="243"/>
      <c r="B73" s="36"/>
      <c r="C73" s="37" t="s">
        <v>43</v>
      </c>
      <c r="D73" s="12"/>
      <c r="E73" s="35"/>
      <c r="F73" s="35"/>
      <c r="G73" s="35" t="s">
        <v>262</v>
      </c>
      <c r="H73" s="35"/>
      <c r="I73" s="38"/>
      <c r="J73" s="35" t="s">
        <v>263</v>
      </c>
      <c r="K73" s="32" t="s">
        <v>264</v>
      </c>
      <c r="L73" s="39" t="s">
        <v>265</v>
      </c>
      <c r="M73" s="32" t="s">
        <v>38</v>
      </c>
      <c r="N73" s="22"/>
      <c r="O73" s="32">
        <f t="shared" si="12"/>
        <v>1</v>
      </c>
      <c r="P73" s="32">
        <f t="shared" si="44"/>
        <v>2</v>
      </c>
      <c r="Q73" s="31">
        <v>45805</v>
      </c>
      <c r="R73" s="31">
        <v>45806</v>
      </c>
      <c r="S73" s="22"/>
      <c r="T73" s="32">
        <f t="shared" si="21"/>
        <v>1</v>
      </c>
      <c r="U73" s="32">
        <f t="shared" si="26"/>
        <v>3</v>
      </c>
      <c r="V73" s="53">
        <v>45805</v>
      </c>
      <c r="W73" s="53">
        <v>45807</v>
      </c>
      <c r="X73" s="24"/>
      <c r="Y73" s="239">
        <v>1</v>
      </c>
      <c r="Z73" s="240"/>
      <c r="AA73" s="240"/>
      <c r="AB73" s="242"/>
      <c r="AC73" s="242"/>
      <c r="AD73" s="28"/>
      <c r="AE73" s="219" t="str">
        <f t="shared" ref="AE73:BM73" si="46">IFERROR(IF(AND($Q73&gt;=(EOMONTH(AE$8,-1)+1),$R73&lt;AF$8,$I73="M"),"u",""),"")</f>
        <v/>
      </c>
      <c r="AF73" s="29" t="str">
        <f t="shared" si="46"/>
        <v/>
      </c>
      <c r="AG73" s="29" t="str">
        <f t="shared" si="46"/>
        <v/>
      </c>
      <c r="AH73" s="29" t="str">
        <f t="shared" si="46"/>
        <v/>
      </c>
      <c r="AI73" s="29" t="str">
        <f t="shared" si="46"/>
        <v/>
      </c>
      <c r="AJ73" s="29" t="str">
        <f t="shared" si="46"/>
        <v/>
      </c>
      <c r="AK73" s="29" t="str">
        <f t="shared" si="46"/>
        <v/>
      </c>
      <c r="AL73" s="29" t="str">
        <f t="shared" si="46"/>
        <v/>
      </c>
      <c r="AM73" s="29" t="str">
        <f t="shared" si="46"/>
        <v/>
      </c>
      <c r="AN73" s="29" t="str">
        <f t="shared" si="46"/>
        <v/>
      </c>
      <c r="AO73" s="29" t="str">
        <f t="shared" si="46"/>
        <v/>
      </c>
      <c r="AP73" s="29" t="str">
        <f t="shared" si="46"/>
        <v/>
      </c>
      <c r="AQ73" s="29" t="str">
        <f t="shared" si="46"/>
        <v/>
      </c>
      <c r="AR73" s="29" t="str">
        <f t="shared" si="46"/>
        <v/>
      </c>
      <c r="AS73" s="29" t="str">
        <f t="shared" si="46"/>
        <v/>
      </c>
      <c r="AT73" s="29" t="str">
        <f t="shared" si="46"/>
        <v/>
      </c>
      <c r="AU73" s="29" t="str">
        <f t="shared" si="46"/>
        <v/>
      </c>
      <c r="AV73" s="29" t="str">
        <f t="shared" si="46"/>
        <v/>
      </c>
      <c r="AW73" s="29" t="str">
        <f t="shared" si="46"/>
        <v/>
      </c>
      <c r="AX73" s="29" t="str">
        <f t="shared" si="46"/>
        <v/>
      </c>
      <c r="AY73" s="29" t="str">
        <f t="shared" si="46"/>
        <v/>
      </c>
      <c r="AZ73" s="29" t="str">
        <f t="shared" si="46"/>
        <v/>
      </c>
      <c r="BA73" s="29" t="str">
        <f t="shared" si="46"/>
        <v/>
      </c>
      <c r="BB73" s="29" t="str">
        <f t="shared" si="46"/>
        <v/>
      </c>
      <c r="BC73" s="29" t="str">
        <f t="shared" si="46"/>
        <v/>
      </c>
      <c r="BD73" s="29" t="str">
        <f t="shared" si="46"/>
        <v/>
      </c>
      <c r="BE73" s="29" t="str">
        <f t="shared" si="46"/>
        <v/>
      </c>
      <c r="BF73" s="29" t="str">
        <f t="shared" si="46"/>
        <v/>
      </c>
      <c r="BG73" s="29" t="str">
        <f t="shared" si="46"/>
        <v/>
      </c>
      <c r="BH73" s="29" t="str">
        <f t="shared" si="46"/>
        <v/>
      </c>
      <c r="BI73" s="29" t="str">
        <f t="shared" si="46"/>
        <v/>
      </c>
      <c r="BJ73" s="29" t="str">
        <f t="shared" si="46"/>
        <v/>
      </c>
      <c r="BK73" s="29" t="str">
        <f t="shared" si="46"/>
        <v/>
      </c>
      <c r="BL73" s="29" t="str">
        <f t="shared" si="46"/>
        <v/>
      </c>
      <c r="BM73" s="30" t="str">
        <f t="shared" si="46"/>
        <v/>
      </c>
      <c r="BN73" s="11" t="s">
        <v>0</v>
      </c>
    </row>
    <row r="74" spans="1:66" ht="30" customHeight="1" outlineLevel="3">
      <c r="A74" s="243"/>
      <c r="B74" s="36"/>
      <c r="C74" s="37" t="s">
        <v>43</v>
      </c>
      <c r="D74" s="12"/>
      <c r="E74" s="35"/>
      <c r="F74" s="35"/>
      <c r="G74" s="35" t="s">
        <v>266</v>
      </c>
      <c r="H74" s="35"/>
      <c r="I74" s="38"/>
      <c r="J74" s="35" t="s">
        <v>267</v>
      </c>
      <c r="K74" s="32" t="s">
        <v>268</v>
      </c>
      <c r="L74" s="39" t="s">
        <v>265</v>
      </c>
      <c r="M74" s="32" t="s">
        <v>99</v>
      </c>
      <c r="N74" s="22"/>
      <c r="O74" s="32">
        <f t="shared" si="12"/>
        <v>1</v>
      </c>
      <c r="P74" s="32">
        <f t="shared" si="44"/>
        <v>5</v>
      </c>
      <c r="Q74" s="31">
        <v>45807</v>
      </c>
      <c r="R74" s="31">
        <v>45813</v>
      </c>
      <c r="S74" s="22"/>
      <c r="T74" s="32">
        <f t="shared" si="21"/>
        <v>1</v>
      </c>
      <c r="U74" s="32">
        <f t="shared" si="26"/>
        <v>7</v>
      </c>
      <c r="V74" s="31">
        <v>45805</v>
      </c>
      <c r="W74" s="31">
        <v>45813</v>
      </c>
      <c r="X74" s="24"/>
      <c r="Y74" s="239">
        <v>1</v>
      </c>
      <c r="Z74" s="240" t="s">
        <v>269</v>
      </c>
      <c r="AA74" s="240"/>
      <c r="AB74" s="242"/>
      <c r="AC74" s="242"/>
      <c r="AD74" s="28"/>
      <c r="AE74" s="21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30"/>
      <c r="BN74" s="11"/>
    </row>
    <row r="75" spans="1:66" ht="30" customHeight="1" outlineLevel="3">
      <c r="A75" s="243"/>
      <c r="B75" s="36"/>
      <c r="C75" s="37" t="s">
        <v>43</v>
      </c>
      <c r="D75" s="12"/>
      <c r="E75" s="35"/>
      <c r="F75" s="35"/>
      <c r="G75" s="35" t="s">
        <v>270</v>
      </c>
      <c r="H75" s="35"/>
      <c r="I75" s="38"/>
      <c r="J75" s="35" t="s">
        <v>271</v>
      </c>
      <c r="K75" s="32" t="s">
        <v>272</v>
      </c>
      <c r="L75" s="39" t="s">
        <v>265</v>
      </c>
      <c r="M75" s="32" t="s">
        <v>99</v>
      </c>
      <c r="N75" s="22"/>
      <c r="O75" s="32">
        <f t="shared" si="12"/>
        <v>1</v>
      </c>
      <c r="P75" s="32">
        <f t="shared" si="44"/>
        <v>4</v>
      </c>
      <c r="Q75" s="31">
        <v>45814</v>
      </c>
      <c r="R75" s="31">
        <v>45819</v>
      </c>
      <c r="S75" s="22"/>
      <c r="T75" s="32">
        <f t="shared" si="21"/>
        <v>1</v>
      </c>
      <c r="U75" s="32">
        <f t="shared" si="26"/>
        <v>2</v>
      </c>
      <c r="V75" s="31">
        <v>45812</v>
      </c>
      <c r="W75" s="31">
        <v>45813</v>
      </c>
      <c r="X75" s="24"/>
      <c r="Y75" s="239">
        <v>1</v>
      </c>
      <c r="Z75" s="240" t="s">
        <v>273</v>
      </c>
      <c r="AA75" s="240"/>
      <c r="AB75" s="242"/>
      <c r="AC75" s="242"/>
      <c r="AD75" s="28"/>
      <c r="AE75" s="21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30"/>
      <c r="BN75" s="11"/>
    </row>
    <row r="76" spans="1:66" ht="30" customHeight="1" outlineLevel="3">
      <c r="A76" s="243"/>
      <c r="B76" s="36"/>
      <c r="C76" s="37" t="s">
        <v>43</v>
      </c>
      <c r="D76" s="12"/>
      <c r="E76" s="35"/>
      <c r="F76" s="35"/>
      <c r="G76" s="35" t="s">
        <v>274</v>
      </c>
      <c r="H76" s="35"/>
      <c r="I76" s="38"/>
      <c r="J76" s="35" t="s">
        <v>275</v>
      </c>
      <c r="K76" s="32" t="s">
        <v>276</v>
      </c>
      <c r="L76" s="39" t="s">
        <v>265</v>
      </c>
      <c r="M76" s="32" t="s">
        <v>99</v>
      </c>
      <c r="N76" s="22"/>
      <c r="O76" s="32">
        <f t="shared" si="12"/>
        <v>1</v>
      </c>
      <c r="P76" s="32">
        <f t="shared" si="44"/>
        <v>6</v>
      </c>
      <c r="Q76" s="31">
        <v>45816</v>
      </c>
      <c r="R76" s="31">
        <v>45824</v>
      </c>
      <c r="S76" s="22"/>
      <c r="T76" s="32">
        <f t="shared" si="21"/>
        <v>1</v>
      </c>
      <c r="U76" s="32">
        <f t="shared" si="26"/>
        <v>8</v>
      </c>
      <c r="V76" s="31">
        <v>45813</v>
      </c>
      <c r="W76" s="31">
        <v>45824</v>
      </c>
      <c r="X76" s="24"/>
      <c r="Y76" s="239">
        <v>1</v>
      </c>
      <c r="Z76" s="240" t="s">
        <v>277</v>
      </c>
      <c r="AA76" s="240"/>
      <c r="AB76" s="242"/>
      <c r="AC76" s="242"/>
      <c r="AD76" s="28"/>
      <c r="AE76" s="21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30"/>
      <c r="BN76" s="11"/>
    </row>
    <row r="77" spans="1:66" ht="30" customHeight="1" outlineLevel="2">
      <c r="A77" s="243"/>
      <c r="B77" s="36" t="s">
        <v>39</v>
      </c>
      <c r="C77" s="37"/>
      <c r="D77" s="12"/>
      <c r="E77" s="35"/>
      <c r="F77" s="35" t="s">
        <v>278</v>
      </c>
      <c r="G77" s="35"/>
      <c r="H77" s="35"/>
      <c r="I77" s="38"/>
      <c r="J77" s="35" t="s">
        <v>279</v>
      </c>
      <c r="K77" s="32" t="s">
        <v>280</v>
      </c>
      <c r="L77" s="39"/>
      <c r="M77" s="32"/>
      <c r="N77" s="22"/>
      <c r="O77" s="32">
        <f t="shared" si="12"/>
        <v>1</v>
      </c>
      <c r="P77" s="32">
        <f t="shared" si="44"/>
        <v>30</v>
      </c>
      <c r="Q77" s="31">
        <f>MIN(Q78:Q81)</f>
        <v>45824</v>
      </c>
      <c r="R77" s="31">
        <f>MAX(R78:R81)</f>
        <v>45865</v>
      </c>
      <c r="S77" s="22"/>
      <c r="T77" s="32">
        <f t="shared" ref="T77" si="47">ROUNDUP(U77/30,0)</f>
        <v>2</v>
      </c>
      <c r="U77" s="32">
        <f>NETWORKDAYS(MIN(V77,W77),MAX(V77,W77))</f>
        <v>31</v>
      </c>
      <c r="V77" s="31">
        <f>MIN(V78:V80)</f>
        <v>45821</v>
      </c>
      <c r="W77" s="31">
        <f>MAX(W78:W80)</f>
        <v>45865</v>
      </c>
      <c r="X77" s="24"/>
      <c r="Y77" s="239">
        <f>AVERAGE(Y78:Y80)</f>
        <v>1</v>
      </c>
      <c r="Z77" s="227"/>
      <c r="AA77" s="227"/>
      <c r="AB77" s="228"/>
      <c r="AC77" s="228"/>
      <c r="AD77" s="28"/>
      <c r="AE77" s="219" t="str">
        <f t="shared" ref="AE77:BM77" si="48">IFERROR(IF(AND($Q77&gt;=(EOMONTH(AE$8,-1)+1),$R77&lt;AF$8,$I77="M"),"u",""),"")</f>
        <v/>
      </c>
      <c r="AF77" s="29" t="str">
        <f t="shared" si="48"/>
        <v/>
      </c>
      <c r="AG77" s="29" t="str">
        <f t="shared" si="48"/>
        <v/>
      </c>
      <c r="AH77" s="29" t="str">
        <f t="shared" si="48"/>
        <v/>
      </c>
      <c r="AI77" s="29" t="str">
        <f t="shared" si="48"/>
        <v/>
      </c>
      <c r="AJ77" s="29" t="str">
        <f t="shared" si="48"/>
        <v/>
      </c>
      <c r="AK77" s="29" t="str">
        <f t="shared" si="48"/>
        <v/>
      </c>
      <c r="AL77" s="29" t="str">
        <f t="shared" si="48"/>
        <v/>
      </c>
      <c r="AM77" s="29" t="str">
        <f t="shared" si="48"/>
        <v/>
      </c>
      <c r="AN77" s="29" t="str">
        <f t="shared" si="48"/>
        <v/>
      </c>
      <c r="AO77" s="29" t="str">
        <f t="shared" si="48"/>
        <v/>
      </c>
      <c r="AP77" s="29" t="str">
        <f t="shared" si="48"/>
        <v/>
      </c>
      <c r="AQ77" s="29" t="str">
        <f t="shared" si="48"/>
        <v/>
      </c>
      <c r="AR77" s="29" t="str">
        <f t="shared" si="48"/>
        <v/>
      </c>
      <c r="AS77" s="29" t="str">
        <f t="shared" si="48"/>
        <v/>
      </c>
      <c r="AT77" s="29" t="str">
        <f t="shared" si="48"/>
        <v/>
      </c>
      <c r="AU77" s="29" t="str">
        <f t="shared" si="48"/>
        <v/>
      </c>
      <c r="AV77" s="29" t="str">
        <f t="shared" si="48"/>
        <v/>
      </c>
      <c r="AW77" s="29" t="str">
        <f t="shared" si="48"/>
        <v/>
      </c>
      <c r="AX77" s="29" t="str">
        <f t="shared" si="48"/>
        <v/>
      </c>
      <c r="AY77" s="29" t="str">
        <f t="shared" si="48"/>
        <v/>
      </c>
      <c r="AZ77" s="29" t="str">
        <f t="shared" si="48"/>
        <v/>
      </c>
      <c r="BA77" s="29" t="str">
        <f t="shared" si="48"/>
        <v/>
      </c>
      <c r="BB77" s="29" t="str">
        <f t="shared" si="48"/>
        <v/>
      </c>
      <c r="BC77" s="29" t="str">
        <f t="shared" si="48"/>
        <v/>
      </c>
      <c r="BD77" s="29" t="str">
        <f t="shared" si="48"/>
        <v/>
      </c>
      <c r="BE77" s="29" t="str">
        <f t="shared" si="48"/>
        <v/>
      </c>
      <c r="BF77" s="29" t="str">
        <f t="shared" si="48"/>
        <v/>
      </c>
      <c r="BG77" s="29" t="str">
        <f t="shared" si="48"/>
        <v/>
      </c>
      <c r="BH77" s="29" t="str">
        <f t="shared" si="48"/>
        <v/>
      </c>
      <c r="BI77" s="29" t="str">
        <f t="shared" si="48"/>
        <v/>
      </c>
      <c r="BJ77" s="29" t="str">
        <f t="shared" si="48"/>
        <v/>
      </c>
      <c r="BK77" s="29" t="str">
        <f t="shared" si="48"/>
        <v/>
      </c>
      <c r="BL77" s="29" t="str">
        <f t="shared" si="48"/>
        <v/>
      </c>
      <c r="BM77" s="30" t="str">
        <f t="shared" si="48"/>
        <v/>
      </c>
      <c r="BN77" s="11" t="s">
        <v>0</v>
      </c>
    </row>
    <row r="78" spans="1:66" ht="30" customHeight="1" outlineLevel="3">
      <c r="A78" s="243"/>
      <c r="B78" s="36"/>
      <c r="C78" s="37" t="s">
        <v>43</v>
      </c>
      <c r="D78" s="12"/>
      <c r="E78" s="35"/>
      <c r="F78" s="35"/>
      <c r="G78" s="35" t="s">
        <v>281</v>
      </c>
      <c r="H78" s="35"/>
      <c r="I78" s="38"/>
      <c r="J78" s="35" t="s">
        <v>282</v>
      </c>
      <c r="K78" s="32" t="s">
        <v>283</v>
      </c>
      <c r="L78" s="39" t="s">
        <v>284</v>
      </c>
      <c r="M78" s="32" t="s">
        <v>136</v>
      </c>
      <c r="N78" s="22"/>
      <c r="O78" s="32">
        <f t="shared" si="12"/>
        <v>1</v>
      </c>
      <c r="P78" s="32">
        <f t="shared" si="44"/>
        <v>2</v>
      </c>
      <c r="Q78" s="31">
        <v>45824</v>
      </c>
      <c r="R78" s="31">
        <v>45825</v>
      </c>
      <c r="S78" s="22"/>
      <c r="T78" s="32">
        <f t="shared" si="21"/>
        <v>1</v>
      </c>
      <c r="U78" s="32">
        <f t="shared" si="26"/>
        <v>10</v>
      </c>
      <c r="V78" s="53">
        <v>45821</v>
      </c>
      <c r="W78" s="53">
        <v>45834</v>
      </c>
      <c r="X78" s="24"/>
      <c r="Y78" s="239">
        <v>1</v>
      </c>
      <c r="Z78" s="240"/>
      <c r="AA78" s="240"/>
      <c r="AB78" s="242"/>
      <c r="AC78" s="242"/>
      <c r="AD78" s="28"/>
      <c r="AE78" s="219" t="str">
        <f t="shared" ref="AE78:BM78" si="49">IFERROR(IF(AND($Q78&gt;=(EOMONTH(AE$8,-1)+1),$R78&lt;AF$8,$I78="M"),"u",""),"")</f>
        <v/>
      </c>
      <c r="AF78" s="29" t="str">
        <f t="shared" si="49"/>
        <v/>
      </c>
      <c r="AG78" s="29" t="str">
        <f t="shared" si="49"/>
        <v/>
      </c>
      <c r="AH78" s="29" t="str">
        <f t="shared" si="49"/>
        <v/>
      </c>
      <c r="AI78" s="29" t="str">
        <f t="shared" si="49"/>
        <v/>
      </c>
      <c r="AJ78" s="29" t="str">
        <f t="shared" si="49"/>
        <v/>
      </c>
      <c r="AK78" s="29" t="str">
        <f t="shared" si="49"/>
        <v/>
      </c>
      <c r="AL78" s="29" t="str">
        <f t="shared" si="49"/>
        <v/>
      </c>
      <c r="AM78" s="29" t="str">
        <f t="shared" si="49"/>
        <v/>
      </c>
      <c r="AN78" s="29" t="str">
        <f t="shared" si="49"/>
        <v/>
      </c>
      <c r="AO78" s="29" t="str">
        <f t="shared" si="49"/>
        <v/>
      </c>
      <c r="AP78" s="29" t="str">
        <f t="shared" si="49"/>
        <v/>
      </c>
      <c r="AQ78" s="29" t="str">
        <f t="shared" si="49"/>
        <v/>
      </c>
      <c r="AR78" s="29" t="str">
        <f t="shared" si="49"/>
        <v/>
      </c>
      <c r="AS78" s="29" t="str">
        <f t="shared" si="49"/>
        <v/>
      </c>
      <c r="AT78" s="29" t="str">
        <f t="shared" si="49"/>
        <v/>
      </c>
      <c r="AU78" s="29" t="str">
        <f t="shared" si="49"/>
        <v/>
      </c>
      <c r="AV78" s="29" t="str">
        <f t="shared" si="49"/>
        <v/>
      </c>
      <c r="AW78" s="29" t="str">
        <f t="shared" si="49"/>
        <v/>
      </c>
      <c r="AX78" s="29" t="str">
        <f t="shared" si="49"/>
        <v/>
      </c>
      <c r="AY78" s="29" t="str">
        <f t="shared" si="49"/>
        <v/>
      </c>
      <c r="AZ78" s="29" t="str">
        <f t="shared" si="49"/>
        <v/>
      </c>
      <c r="BA78" s="29" t="str">
        <f t="shared" si="49"/>
        <v/>
      </c>
      <c r="BB78" s="29" t="str">
        <f t="shared" si="49"/>
        <v/>
      </c>
      <c r="BC78" s="29" t="str">
        <f t="shared" si="49"/>
        <v/>
      </c>
      <c r="BD78" s="29" t="str">
        <f t="shared" si="49"/>
        <v/>
      </c>
      <c r="BE78" s="29" t="str">
        <f t="shared" si="49"/>
        <v/>
      </c>
      <c r="BF78" s="29" t="str">
        <f t="shared" si="49"/>
        <v/>
      </c>
      <c r="BG78" s="29" t="str">
        <f t="shared" si="49"/>
        <v/>
      </c>
      <c r="BH78" s="29" t="str">
        <f t="shared" si="49"/>
        <v/>
      </c>
      <c r="BI78" s="29" t="str">
        <f t="shared" si="49"/>
        <v/>
      </c>
      <c r="BJ78" s="29" t="str">
        <f t="shared" si="49"/>
        <v/>
      </c>
      <c r="BK78" s="29" t="str">
        <f t="shared" si="49"/>
        <v/>
      </c>
      <c r="BL78" s="29" t="str">
        <f t="shared" si="49"/>
        <v/>
      </c>
      <c r="BM78" s="30" t="str">
        <f t="shared" si="49"/>
        <v/>
      </c>
      <c r="BN78" s="11" t="s">
        <v>0</v>
      </c>
    </row>
    <row r="79" spans="1:66" ht="30" customHeight="1" outlineLevel="3">
      <c r="A79" s="243"/>
      <c r="B79" s="36"/>
      <c r="C79" s="37" t="s">
        <v>43</v>
      </c>
      <c r="D79" s="12"/>
      <c r="E79" s="35"/>
      <c r="F79" s="35"/>
      <c r="G79" s="35" t="s">
        <v>285</v>
      </c>
      <c r="H79" s="35"/>
      <c r="I79" s="38"/>
      <c r="J79" s="35" t="s">
        <v>286</v>
      </c>
      <c r="K79" s="32" t="s">
        <v>287</v>
      </c>
      <c r="L79" s="39" t="s">
        <v>179</v>
      </c>
      <c r="M79" s="32" t="s">
        <v>288</v>
      </c>
      <c r="N79" s="22"/>
      <c r="O79" s="32">
        <f t="shared" si="12"/>
        <v>1</v>
      </c>
      <c r="P79" s="32">
        <f t="shared" si="44"/>
        <v>5</v>
      </c>
      <c r="Q79" s="31">
        <v>45825</v>
      </c>
      <c r="R79" s="31">
        <v>45831</v>
      </c>
      <c r="S79" s="22"/>
      <c r="T79" s="32">
        <f t="shared" si="21"/>
        <v>1</v>
      </c>
      <c r="U79" s="32">
        <f t="shared" si="26"/>
        <v>25</v>
      </c>
      <c r="V79" s="53">
        <v>45821</v>
      </c>
      <c r="W79" s="53">
        <v>45855</v>
      </c>
      <c r="X79" s="24"/>
      <c r="Y79" s="239">
        <v>1</v>
      </c>
      <c r="Z79" s="250" t="s">
        <v>289</v>
      </c>
      <c r="AA79" s="240"/>
      <c r="AB79" s="242"/>
      <c r="AC79" s="242"/>
      <c r="AD79" s="28"/>
      <c r="AE79" s="219" t="str">
        <f t="shared" ref="AE79:BM79" si="50">IFERROR(IF(AND($Q79&gt;=(EOMONTH(AE$8,-1)+1),$R79&lt;AF$8,$I79="M"),"u",""),"")</f>
        <v/>
      </c>
      <c r="AF79" s="29" t="str">
        <f t="shared" si="50"/>
        <v/>
      </c>
      <c r="AG79" s="29" t="str">
        <f t="shared" si="50"/>
        <v/>
      </c>
      <c r="AH79" s="29" t="str">
        <f t="shared" si="50"/>
        <v/>
      </c>
      <c r="AI79" s="29" t="str">
        <f t="shared" si="50"/>
        <v/>
      </c>
      <c r="AJ79" s="29" t="str">
        <f t="shared" si="50"/>
        <v/>
      </c>
      <c r="AK79" s="29" t="str">
        <f t="shared" si="50"/>
        <v/>
      </c>
      <c r="AL79" s="29" t="str">
        <f t="shared" si="50"/>
        <v/>
      </c>
      <c r="AM79" s="29" t="str">
        <f t="shared" si="50"/>
        <v/>
      </c>
      <c r="AN79" s="29" t="str">
        <f t="shared" si="50"/>
        <v/>
      </c>
      <c r="AO79" s="29" t="str">
        <f t="shared" si="50"/>
        <v/>
      </c>
      <c r="AP79" s="29" t="str">
        <f t="shared" si="50"/>
        <v/>
      </c>
      <c r="AQ79" s="29" t="str">
        <f t="shared" si="50"/>
        <v/>
      </c>
      <c r="AR79" s="29" t="str">
        <f t="shared" si="50"/>
        <v/>
      </c>
      <c r="AS79" s="29" t="str">
        <f t="shared" si="50"/>
        <v/>
      </c>
      <c r="AT79" s="29" t="str">
        <f t="shared" si="50"/>
        <v/>
      </c>
      <c r="AU79" s="29" t="str">
        <f t="shared" si="50"/>
        <v/>
      </c>
      <c r="AV79" s="29" t="str">
        <f t="shared" si="50"/>
        <v/>
      </c>
      <c r="AW79" s="29" t="str">
        <f t="shared" si="50"/>
        <v/>
      </c>
      <c r="AX79" s="29" t="str">
        <f t="shared" si="50"/>
        <v/>
      </c>
      <c r="AY79" s="29" t="str">
        <f t="shared" si="50"/>
        <v/>
      </c>
      <c r="AZ79" s="29" t="str">
        <f t="shared" si="50"/>
        <v/>
      </c>
      <c r="BA79" s="29" t="str">
        <f t="shared" si="50"/>
        <v/>
      </c>
      <c r="BB79" s="29" t="str">
        <f t="shared" si="50"/>
        <v/>
      </c>
      <c r="BC79" s="29" t="str">
        <f t="shared" si="50"/>
        <v/>
      </c>
      <c r="BD79" s="29" t="str">
        <f t="shared" si="50"/>
        <v/>
      </c>
      <c r="BE79" s="29" t="str">
        <f t="shared" si="50"/>
        <v/>
      </c>
      <c r="BF79" s="29" t="str">
        <f t="shared" si="50"/>
        <v/>
      </c>
      <c r="BG79" s="29" t="str">
        <f t="shared" si="50"/>
        <v/>
      </c>
      <c r="BH79" s="29" t="str">
        <f t="shared" si="50"/>
        <v/>
      </c>
      <c r="BI79" s="29" t="str">
        <f t="shared" si="50"/>
        <v/>
      </c>
      <c r="BJ79" s="29" t="str">
        <f t="shared" si="50"/>
        <v/>
      </c>
      <c r="BK79" s="29" t="str">
        <f t="shared" si="50"/>
        <v/>
      </c>
      <c r="BL79" s="29" t="str">
        <f t="shared" si="50"/>
        <v/>
      </c>
      <c r="BM79" s="30" t="str">
        <f t="shared" si="50"/>
        <v/>
      </c>
      <c r="BN79" s="11" t="s">
        <v>0</v>
      </c>
    </row>
    <row r="80" spans="1:66" ht="30" customHeight="1" outlineLevel="3">
      <c r="A80" s="243"/>
      <c r="B80" s="36"/>
      <c r="C80" s="37" t="s">
        <v>43</v>
      </c>
      <c r="D80" s="12"/>
      <c r="E80" s="35"/>
      <c r="F80" s="35"/>
      <c r="G80" s="35" t="s">
        <v>290</v>
      </c>
      <c r="H80" s="35"/>
      <c r="I80" s="38"/>
      <c r="J80" s="35" t="s">
        <v>291</v>
      </c>
      <c r="K80" s="32" t="s">
        <v>292</v>
      </c>
      <c r="L80" s="39" t="s">
        <v>179</v>
      </c>
      <c r="M80" s="32" t="s">
        <v>288</v>
      </c>
      <c r="N80" s="22"/>
      <c r="O80" s="32">
        <f t="shared" si="12"/>
        <v>1</v>
      </c>
      <c r="P80" s="32">
        <f t="shared" si="44"/>
        <v>4</v>
      </c>
      <c r="Q80" s="31">
        <v>45832</v>
      </c>
      <c r="R80" s="31">
        <v>45836</v>
      </c>
      <c r="S80" s="22"/>
      <c r="T80" s="32">
        <f t="shared" si="21"/>
        <v>2</v>
      </c>
      <c r="U80" s="32">
        <f t="shared" si="26"/>
        <v>31</v>
      </c>
      <c r="V80" s="31">
        <v>45821</v>
      </c>
      <c r="W80" s="31">
        <v>45865</v>
      </c>
      <c r="X80" s="24"/>
      <c r="Y80" s="239">
        <v>1</v>
      </c>
      <c r="Z80" s="240" t="s">
        <v>293</v>
      </c>
      <c r="AA80" s="241"/>
      <c r="AB80" s="242"/>
      <c r="AC80" s="242"/>
      <c r="AD80" s="28"/>
      <c r="AE80" s="219" t="str">
        <f t="shared" ref="AE80:BM80" si="51">IFERROR(IF(AND($Q80&gt;=(EOMONTH(AE$8,-1)+1),$R80&lt;AF$8,$I80="M"),"u",""),"")</f>
        <v/>
      </c>
      <c r="AF80" s="29" t="str">
        <f t="shared" si="51"/>
        <v/>
      </c>
      <c r="AG80" s="29" t="str">
        <f t="shared" si="51"/>
        <v/>
      </c>
      <c r="AH80" s="29" t="str">
        <f t="shared" si="51"/>
        <v/>
      </c>
      <c r="AI80" s="29" t="str">
        <f t="shared" si="51"/>
        <v/>
      </c>
      <c r="AJ80" s="29" t="str">
        <f t="shared" si="51"/>
        <v/>
      </c>
      <c r="AK80" s="29" t="str">
        <f t="shared" si="51"/>
        <v/>
      </c>
      <c r="AL80" s="29" t="str">
        <f t="shared" si="51"/>
        <v/>
      </c>
      <c r="AM80" s="29" t="str">
        <f t="shared" si="51"/>
        <v/>
      </c>
      <c r="AN80" s="29" t="str">
        <f t="shared" si="51"/>
        <v/>
      </c>
      <c r="AO80" s="29" t="str">
        <f t="shared" si="51"/>
        <v/>
      </c>
      <c r="AP80" s="29" t="str">
        <f t="shared" si="51"/>
        <v/>
      </c>
      <c r="AQ80" s="29" t="str">
        <f t="shared" si="51"/>
        <v/>
      </c>
      <c r="AR80" s="29" t="str">
        <f t="shared" si="51"/>
        <v/>
      </c>
      <c r="AS80" s="29" t="str">
        <f t="shared" si="51"/>
        <v/>
      </c>
      <c r="AT80" s="29" t="str">
        <f t="shared" si="51"/>
        <v/>
      </c>
      <c r="AU80" s="29" t="str">
        <f t="shared" si="51"/>
        <v/>
      </c>
      <c r="AV80" s="29" t="str">
        <f t="shared" si="51"/>
        <v/>
      </c>
      <c r="AW80" s="29" t="str">
        <f t="shared" si="51"/>
        <v/>
      </c>
      <c r="AX80" s="29" t="str">
        <f t="shared" si="51"/>
        <v/>
      </c>
      <c r="AY80" s="29" t="str">
        <f t="shared" si="51"/>
        <v/>
      </c>
      <c r="AZ80" s="29" t="str">
        <f t="shared" si="51"/>
        <v/>
      </c>
      <c r="BA80" s="29" t="str">
        <f t="shared" si="51"/>
        <v/>
      </c>
      <c r="BB80" s="29" t="str">
        <f t="shared" si="51"/>
        <v/>
      </c>
      <c r="BC80" s="29" t="str">
        <f t="shared" si="51"/>
        <v/>
      </c>
      <c r="BD80" s="29" t="str">
        <f t="shared" si="51"/>
        <v/>
      </c>
      <c r="BE80" s="29" t="str">
        <f t="shared" si="51"/>
        <v/>
      </c>
      <c r="BF80" s="29" t="str">
        <f t="shared" si="51"/>
        <v/>
      </c>
      <c r="BG80" s="29" t="str">
        <f t="shared" si="51"/>
        <v/>
      </c>
      <c r="BH80" s="29" t="str">
        <f t="shared" si="51"/>
        <v/>
      </c>
      <c r="BI80" s="29" t="str">
        <f t="shared" si="51"/>
        <v/>
      </c>
      <c r="BJ80" s="29" t="str">
        <f t="shared" si="51"/>
        <v/>
      </c>
      <c r="BK80" s="29" t="str">
        <f t="shared" si="51"/>
        <v/>
      </c>
      <c r="BL80" s="29" t="str">
        <f t="shared" si="51"/>
        <v/>
      </c>
      <c r="BM80" s="30" t="str">
        <f t="shared" si="51"/>
        <v/>
      </c>
      <c r="BN80" s="11" t="s">
        <v>0</v>
      </c>
    </row>
    <row r="81" spans="1:66" ht="30" customHeight="1" outlineLevel="2">
      <c r="A81" s="243"/>
      <c r="B81" s="36" t="s">
        <v>39</v>
      </c>
      <c r="C81" s="37"/>
      <c r="D81" s="12"/>
      <c r="E81" s="35"/>
      <c r="F81" s="35" t="s">
        <v>294</v>
      </c>
      <c r="G81" s="35"/>
      <c r="H81" s="35"/>
      <c r="I81" s="38"/>
      <c r="J81" s="35" t="s">
        <v>295</v>
      </c>
      <c r="K81" s="32" t="s">
        <v>296</v>
      </c>
      <c r="L81" s="39"/>
      <c r="M81" s="32"/>
      <c r="N81" s="22"/>
      <c r="O81" s="32">
        <f t="shared" si="12"/>
        <v>1</v>
      </c>
      <c r="P81" s="32">
        <f t="shared" si="44"/>
        <v>20</v>
      </c>
      <c r="Q81" s="31">
        <f>MIN(Q82:Q85)</f>
        <v>45837</v>
      </c>
      <c r="R81" s="31">
        <f>MAX(R82:R85)</f>
        <v>45865</v>
      </c>
      <c r="S81" s="22"/>
      <c r="T81" s="32">
        <f t="shared" ref="T81" si="52">ROUNDUP(U81/30,0)</f>
        <v>1</v>
      </c>
      <c r="U81" s="32">
        <f>NETWORKDAYS(MIN(V81,W81),MAX(V81,W81))</f>
        <v>24</v>
      </c>
      <c r="V81" s="31">
        <f>MIN(V82:V84)</f>
        <v>45824</v>
      </c>
      <c r="W81" s="31">
        <f>MAX(W82:W84)</f>
        <v>45855</v>
      </c>
      <c r="X81" s="24"/>
      <c r="Y81" s="239">
        <f>AVERAGE(Y82:Y85)</f>
        <v>1</v>
      </c>
      <c r="Z81" s="240"/>
      <c r="AA81" s="240"/>
      <c r="AB81" s="242"/>
      <c r="AC81" s="242"/>
      <c r="AD81" s="28"/>
      <c r="AE81" s="219" t="str">
        <f t="shared" ref="AE81:BM81" si="53">IFERROR(IF(AND($Q81&gt;=(EOMONTH(AE$8,-1)+1),$R81&lt;AF$8,$I81="M"),"u",""),"")</f>
        <v/>
      </c>
      <c r="AF81" s="29" t="str">
        <f t="shared" si="53"/>
        <v/>
      </c>
      <c r="AG81" s="29" t="str">
        <f t="shared" si="53"/>
        <v/>
      </c>
      <c r="AH81" s="29" t="str">
        <f t="shared" si="53"/>
        <v/>
      </c>
      <c r="AI81" s="29" t="str">
        <f t="shared" si="53"/>
        <v/>
      </c>
      <c r="AJ81" s="29" t="str">
        <f t="shared" si="53"/>
        <v/>
      </c>
      <c r="AK81" s="29" t="str">
        <f t="shared" si="53"/>
        <v/>
      </c>
      <c r="AL81" s="29" t="str">
        <f t="shared" si="53"/>
        <v/>
      </c>
      <c r="AM81" s="29" t="str">
        <f t="shared" si="53"/>
        <v/>
      </c>
      <c r="AN81" s="29" t="str">
        <f t="shared" si="53"/>
        <v/>
      </c>
      <c r="AO81" s="29" t="str">
        <f t="shared" si="53"/>
        <v/>
      </c>
      <c r="AP81" s="29" t="str">
        <f t="shared" si="53"/>
        <v/>
      </c>
      <c r="AQ81" s="29" t="str">
        <f t="shared" si="53"/>
        <v/>
      </c>
      <c r="AR81" s="29" t="str">
        <f t="shared" si="53"/>
        <v/>
      </c>
      <c r="AS81" s="29" t="str">
        <f t="shared" si="53"/>
        <v/>
      </c>
      <c r="AT81" s="29" t="str">
        <f t="shared" si="53"/>
        <v/>
      </c>
      <c r="AU81" s="29" t="str">
        <f t="shared" si="53"/>
        <v/>
      </c>
      <c r="AV81" s="29" t="str">
        <f t="shared" si="53"/>
        <v/>
      </c>
      <c r="AW81" s="29" t="str">
        <f t="shared" si="53"/>
        <v/>
      </c>
      <c r="AX81" s="29" t="str">
        <f t="shared" si="53"/>
        <v/>
      </c>
      <c r="AY81" s="29" t="str">
        <f t="shared" si="53"/>
        <v/>
      </c>
      <c r="AZ81" s="29" t="str">
        <f t="shared" si="53"/>
        <v/>
      </c>
      <c r="BA81" s="29" t="str">
        <f t="shared" si="53"/>
        <v/>
      </c>
      <c r="BB81" s="29" t="str">
        <f t="shared" si="53"/>
        <v/>
      </c>
      <c r="BC81" s="29" t="str">
        <f t="shared" si="53"/>
        <v/>
      </c>
      <c r="BD81" s="29" t="str">
        <f t="shared" si="53"/>
        <v/>
      </c>
      <c r="BE81" s="29" t="str">
        <f t="shared" si="53"/>
        <v/>
      </c>
      <c r="BF81" s="29" t="str">
        <f t="shared" si="53"/>
        <v/>
      </c>
      <c r="BG81" s="29" t="str">
        <f t="shared" si="53"/>
        <v/>
      </c>
      <c r="BH81" s="29" t="str">
        <f t="shared" si="53"/>
        <v/>
      </c>
      <c r="BI81" s="29" t="str">
        <f t="shared" si="53"/>
        <v/>
      </c>
      <c r="BJ81" s="29" t="str">
        <f t="shared" si="53"/>
        <v/>
      </c>
      <c r="BK81" s="29" t="str">
        <f t="shared" si="53"/>
        <v/>
      </c>
      <c r="BL81" s="29" t="str">
        <f t="shared" si="53"/>
        <v/>
      </c>
      <c r="BM81" s="30" t="str">
        <f t="shared" si="53"/>
        <v/>
      </c>
      <c r="BN81" s="11" t="s">
        <v>0</v>
      </c>
    </row>
    <row r="82" spans="1:66" ht="30" customHeight="1" outlineLevel="3">
      <c r="A82" s="243"/>
      <c r="B82" s="36"/>
      <c r="C82" s="37" t="s">
        <v>43</v>
      </c>
      <c r="D82" s="12"/>
      <c r="E82" s="35"/>
      <c r="G82" s="35" t="s">
        <v>297</v>
      </c>
      <c r="H82" s="35"/>
      <c r="I82" s="38"/>
      <c r="J82" s="35" t="s">
        <v>298</v>
      </c>
      <c r="K82" s="32" t="s">
        <v>299</v>
      </c>
      <c r="L82" s="39" t="s">
        <v>148</v>
      </c>
      <c r="M82" s="32" t="s">
        <v>179</v>
      </c>
      <c r="N82" s="22"/>
      <c r="O82" s="32">
        <f t="shared" si="12"/>
        <v>1</v>
      </c>
      <c r="P82" s="32">
        <f t="shared" si="44"/>
        <v>5</v>
      </c>
      <c r="Q82" s="31">
        <v>45837</v>
      </c>
      <c r="R82" s="31">
        <v>45843</v>
      </c>
      <c r="S82" s="22"/>
      <c r="T82" s="32">
        <f t="shared" si="21"/>
        <v>1</v>
      </c>
      <c r="U82" s="32">
        <f t="shared" si="26"/>
        <v>5</v>
      </c>
      <c r="V82" s="31">
        <v>45838</v>
      </c>
      <c r="W82" s="31">
        <v>45842</v>
      </c>
      <c r="X82" s="24"/>
      <c r="Y82" s="239">
        <v>1</v>
      </c>
      <c r="Z82" s="240"/>
      <c r="AA82" s="240"/>
      <c r="AB82" s="242"/>
      <c r="AC82" s="242"/>
      <c r="AD82" s="28"/>
      <c r="AE82" s="21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30"/>
      <c r="BN82" s="11"/>
    </row>
    <row r="83" spans="1:66" ht="30" customHeight="1" outlineLevel="3">
      <c r="A83" s="243"/>
      <c r="B83" s="36"/>
      <c r="C83" s="37" t="s">
        <v>43</v>
      </c>
      <c r="D83" s="12"/>
      <c r="E83" s="35"/>
      <c r="G83" s="35" t="s">
        <v>300</v>
      </c>
      <c r="H83" s="35"/>
      <c r="I83" s="38"/>
      <c r="J83" s="35" t="s">
        <v>301</v>
      </c>
      <c r="K83" s="32" t="s">
        <v>302</v>
      </c>
      <c r="L83" s="39" t="s">
        <v>148</v>
      </c>
      <c r="M83" s="32" t="s">
        <v>179</v>
      </c>
      <c r="N83" s="22"/>
      <c r="O83" s="32">
        <f t="shared" si="12"/>
        <v>1</v>
      </c>
      <c r="P83" s="32">
        <f t="shared" si="44"/>
        <v>8</v>
      </c>
      <c r="Q83" s="31">
        <v>45844</v>
      </c>
      <c r="R83" s="31">
        <v>45854</v>
      </c>
      <c r="S83" s="22"/>
      <c r="T83" s="32">
        <f t="shared" si="21"/>
        <v>1</v>
      </c>
      <c r="U83" s="32">
        <f t="shared" si="26"/>
        <v>4</v>
      </c>
      <c r="V83" s="53">
        <v>45824</v>
      </c>
      <c r="W83" s="53">
        <v>45827</v>
      </c>
      <c r="X83" s="24"/>
      <c r="Y83" s="239">
        <v>1</v>
      </c>
      <c r="Z83" s="240" t="s">
        <v>303</v>
      </c>
      <c r="AA83" s="240"/>
      <c r="AB83" s="242"/>
      <c r="AC83" s="242"/>
      <c r="AD83" s="28"/>
      <c r="AE83" s="21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30"/>
      <c r="BN83" s="11"/>
    </row>
    <row r="84" spans="1:66" ht="30" customHeight="1" outlineLevel="3">
      <c r="A84" s="243"/>
      <c r="B84" s="36"/>
      <c r="C84" s="37" t="s">
        <v>43</v>
      </c>
      <c r="D84" s="12"/>
      <c r="E84" s="35"/>
      <c r="G84" s="35" t="s">
        <v>304</v>
      </c>
      <c r="H84" s="35"/>
      <c r="I84" s="38"/>
      <c r="J84" s="35" t="s">
        <v>305</v>
      </c>
      <c r="K84" s="32" t="s">
        <v>306</v>
      </c>
      <c r="L84" s="39" t="s">
        <v>148</v>
      </c>
      <c r="M84" s="32" t="s">
        <v>179</v>
      </c>
      <c r="N84" s="22"/>
      <c r="O84" s="32">
        <f t="shared" si="12"/>
        <v>1</v>
      </c>
      <c r="P84" s="32">
        <f t="shared" si="44"/>
        <v>4</v>
      </c>
      <c r="Q84" s="31">
        <v>45855</v>
      </c>
      <c r="R84" s="31">
        <v>45860</v>
      </c>
      <c r="S84" s="22"/>
      <c r="T84" s="32">
        <f t="shared" si="21"/>
        <v>1</v>
      </c>
      <c r="U84" s="32">
        <f t="shared" si="26"/>
        <v>2</v>
      </c>
      <c r="V84" s="31">
        <v>45854</v>
      </c>
      <c r="W84" s="31">
        <v>45855</v>
      </c>
      <c r="X84" s="24"/>
      <c r="Y84" s="239">
        <v>1</v>
      </c>
      <c r="Z84" s="240" t="s">
        <v>307</v>
      </c>
      <c r="AA84" s="240"/>
      <c r="AB84" s="242"/>
      <c r="AC84" s="242"/>
      <c r="AD84" s="28"/>
      <c r="AE84" s="21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30"/>
      <c r="BN84" s="11"/>
    </row>
    <row r="85" spans="1:66" ht="30" customHeight="1" outlineLevel="3">
      <c r="A85" s="243"/>
      <c r="B85" s="36"/>
      <c r="C85" s="37" t="s">
        <v>43</v>
      </c>
      <c r="D85" s="12"/>
      <c r="E85" s="35"/>
      <c r="G85" s="35" t="s">
        <v>308</v>
      </c>
      <c r="H85" s="35"/>
      <c r="I85" s="38"/>
      <c r="J85" s="35" t="s">
        <v>309</v>
      </c>
      <c r="K85" s="32" t="s">
        <v>310</v>
      </c>
      <c r="L85" s="39" t="s">
        <v>148</v>
      </c>
      <c r="M85" s="32" t="s">
        <v>179</v>
      </c>
      <c r="N85" s="22"/>
      <c r="O85" s="32">
        <f t="shared" si="12"/>
        <v>1</v>
      </c>
      <c r="P85" s="32">
        <f t="shared" si="44"/>
        <v>4</v>
      </c>
      <c r="Q85" s="31">
        <v>45860</v>
      </c>
      <c r="R85" s="31">
        <v>45865</v>
      </c>
      <c r="S85" s="22"/>
      <c r="T85" s="32">
        <f t="shared" si="21"/>
        <v>1</v>
      </c>
      <c r="U85" s="32">
        <f t="shared" si="26"/>
        <v>4</v>
      </c>
      <c r="V85" s="31">
        <v>45859</v>
      </c>
      <c r="W85" s="31">
        <v>45862</v>
      </c>
      <c r="X85" s="24"/>
      <c r="Y85" s="239">
        <v>1</v>
      </c>
      <c r="Z85" s="240" t="s">
        <v>311</v>
      </c>
      <c r="AA85" s="240"/>
      <c r="AB85" s="242"/>
      <c r="AC85" s="242"/>
      <c r="AD85" s="28"/>
      <c r="AE85" s="21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30"/>
      <c r="BN85" s="11"/>
    </row>
    <row r="86" spans="1:66" ht="30" customHeight="1">
      <c r="A86" s="207"/>
      <c r="B86" s="208"/>
      <c r="C86" s="209"/>
      <c r="D86" s="210" t="s">
        <v>312</v>
      </c>
      <c r="E86" s="208"/>
      <c r="F86" s="208"/>
      <c r="G86" s="208"/>
      <c r="H86" s="208"/>
      <c r="I86" s="212"/>
      <c r="J86" s="255" t="s">
        <v>313</v>
      </c>
      <c r="K86" s="255" t="s">
        <v>314</v>
      </c>
      <c r="L86" s="255" t="s">
        <v>99</v>
      </c>
      <c r="M86" s="255" t="s">
        <v>315</v>
      </c>
      <c r="N86" s="22"/>
      <c r="O86" s="214">
        <f>ROUNDUP(P86/30,0)</f>
        <v>2</v>
      </c>
      <c r="P86" s="400">
        <f>IF(Q86=0,"",R86-Q86)</f>
        <v>47</v>
      </c>
      <c r="Q86" s="246">
        <f>MIN(Q88:Q117)</f>
        <v>45855</v>
      </c>
      <c r="R86" s="246">
        <f>MAX(R88:R117)</f>
        <v>45902</v>
      </c>
      <c r="S86" s="22"/>
      <c r="T86" s="32">
        <f t="shared" si="21"/>
        <v>0</v>
      </c>
      <c r="U86" s="32">
        <f t="shared" si="26"/>
        <v>0</v>
      </c>
      <c r="V86" s="44"/>
      <c r="W86" s="44"/>
      <c r="X86" s="24"/>
      <c r="Y86" s="217">
        <f>Y87</f>
        <v>1</v>
      </c>
      <c r="Z86" s="227"/>
      <c r="AA86" s="227"/>
      <c r="AB86" s="228"/>
      <c r="AC86" s="228"/>
      <c r="AD86" s="28"/>
      <c r="AE86" s="219" t="str">
        <f t="shared" ref="AE86:BM86" si="54">IFERROR(IF(AND($Q86&gt;=(EOMONTH(AE$8,-1)+1),$R86&lt;AF$8,$I86="M"),"u",""),"")</f>
        <v/>
      </c>
      <c r="AF86" s="29" t="str">
        <f t="shared" si="54"/>
        <v/>
      </c>
      <c r="AG86" s="29" t="str">
        <f t="shared" si="54"/>
        <v/>
      </c>
      <c r="AH86" s="29" t="str">
        <f t="shared" si="54"/>
        <v/>
      </c>
      <c r="AI86" s="29" t="str">
        <f t="shared" si="54"/>
        <v/>
      </c>
      <c r="AJ86" s="29" t="str">
        <f t="shared" si="54"/>
        <v/>
      </c>
      <c r="AK86" s="29" t="str">
        <f t="shared" si="54"/>
        <v/>
      </c>
      <c r="AL86" s="29" t="str">
        <f t="shared" si="54"/>
        <v/>
      </c>
      <c r="AM86" s="29" t="str">
        <f t="shared" si="54"/>
        <v/>
      </c>
      <c r="AN86" s="29" t="str">
        <f t="shared" si="54"/>
        <v/>
      </c>
      <c r="AO86" s="29" t="str">
        <f t="shared" si="54"/>
        <v/>
      </c>
      <c r="AP86" s="29" t="str">
        <f t="shared" si="54"/>
        <v/>
      </c>
      <c r="AQ86" s="29" t="str">
        <f t="shared" si="54"/>
        <v/>
      </c>
      <c r="AR86" s="29" t="str">
        <f t="shared" si="54"/>
        <v/>
      </c>
      <c r="AS86" s="29" t="str">
        <f t="shared" si="54"/>
        <v/>
      </c>
      <c r="AT86" s="29" t="str">
        <f t="shared" si="54"/>
        <v/>
      </c>
      <c r="AU86" s="29" t="str">
        <f t="shared" si="54"/>
        <v/>
      </c>
      <c r="AV86" s="29" t="str">
        <f t="shared" si="54"/>
        <v/>
      </c>
      <c r="AW86" s="29" t="str">
        <f t="shared" si="54"/>
        <v/>
      </c>
      <c r="AX86" s="29" t="str">
        <f t="shared" si="54"/>
        <v/>
      </c>
      <c r="AY86" s="29" t="str">
        <f t="shared" si="54"/>
        <v/>
      </c>
      <c r="AZ86" s="29" t="str">
        <f t="shared" si="54"/>
        <v/>
      </c>
      <c r="BA86" s="29" t="str">
        <f t="shared" si="54"/>
        <v/>
      </c>
      <c r="BB86" s="29" t="str">
        <f t="shared" si="54"/>
        <v/>
      </c>
      <c r="BC86" s="29" t="str">
        <f t="shared" si="54"/>
        <v/>
      </c>
      <c r="BD86" s="29" t="str">
        <f t="shared" si="54"/>
        <v/>
      </c>
      <c r="BE86" s="29" t="str">
        <f t="shared" si="54"/>
        <v/>
      </c>
      <c r="BF86" s="29" t="str">
        <f t="shared" si="54"/>
        <v/>
      </c>
      <c r="BG86" s="29" t="str">
        <f t="shared" si="54"/>
        <v/>
      </c>
      <c r="BH86" s="29" t="str">
        <f t="shared" si="54"/>
        <v/>
      </c>
      <c r="BI86" s="29" t="str">
        <f t="shared" si="54"/>
        <v/>
      </c>
      <c r="BJ86" s="29" t="str">
        <f t="shared" si="54"/>
        <v/>
      </c>
      <c r="BK86" s="29" t="str">
        <f t="shared" si="54"/>
        <v/>
      </c>
      <c r="BL86" s="29" t="str">
        <f t="shared" si="54"/>
        <v/>
      </c>
      <c r="BM86" s="30" t="str">
        <f t="shared" si="54"/>
        <v/>
      </c>
      <c r="BN86" s="11" t="s">
        <v>0</v>
      </c>
    </row>
    <row r="87" spans="1:66" ht="30" customHeight="1">
      <c r="A87" s="243" t="s">
        <v>34</v>
      </c>
      <c r="B87" s="36"/>
      <c r="C87" s="37"/>
      <c r="D87" s="12"/>
      <c r="E87" s="35" t="s">
        <v>316</v>
      </c>
      <c r="F87" s="48"/>
      <c r="G87" s="35"/>
      <c r="H87" s="35"/>
      <c r="I87" s="38"/>
      <c r="J87" s="35" t="s">
        <v>317</v>
      </c>
      <c r="K87" s="32" t="s">
        <v>318</v>
      </c>
      <c r="L87" s="39"/>
      <c r="M87" s="32"/>
      <c r="N87" s="22"/>
      <c r="O87" s="32">
        <f t="shared" si="12"/>
        <v>1</v>
      </c>
      <c r="P87" s="32">
        <f t="shared" ref="P87:P117" si="55">DATEDIF(Q87,R87,"D")</f>
        <v>16</v>
      </c>
      <c r="Q87" s="31">
        <f>MIN(Q88:Q96)</f>
        <v>45855</v>
      </c>
      <c r="R87" s="31">
        <f>MAX(R88:R96)</f>
        <v>45871</v>
      </c>
      <c r="S87" s="22"/>
      <c r="T87" s="32">
        <f t="shared" si="21"/>
        <v>1</v>
      </c>
      <c r="U87" s="32">
        <f t="shared" si="26"/>
        <v>4</v>
      </c>
      <c r="V87" s="31">
        <f>MIN(V88:V90)</f>
        <v>45855</v>
      </c>
      <c r="W87" s="31">
        <f>MAX(W88:W90)</f>
        <v>45860</v>
      </c>
      <c r="X87" s="24"/>
      <c r="Y87" s="239">
        <f>AVERAGE(Y88,Y91,Y94)</f>
        <v>1</v>
      </c>
      <c r="Z87" s="240"/>
      <c r="AA87" s="240"/>
      <c r="AB87" s="242"/>
      <c r="AC87" s="242"/>
      <c r="AD87" s="28"/>
      <c r="AE87" s="219" t="str">
        <f t="shared" ref="AE87:BM87" si="56">IFERROR(IF(AND($Q87&gt;=(EOMONTH(AE$8,-1)+1),$R87&lt;AF$8,$I87="M"),"u",""),"")</f>
        <v/>
      </c>
      <c r="AF87" s="29" t="str">
        <f t="shared" si="56"/>
        <v/>
      </c>
      <c r="AG87" s="29" t="str">
        <f t="shared" si="56"/>
        <v/>
      </c>
      <c r="AH87" s="29" t="str">
        <f t="shared" si="56"/>
        <v/>
      </c>
      <c r="AI87" s="29" t="str">
        <f t="shared" si="56"/>
        <v/>
      </c>
      <c r="AJ87" s="29" t="str">
        <f t="shared" si="56"/>
        <v/>
      </c>
      <c r="AK87" s="29" t="str">
        <f t="shared" si="56"/>
        <v/>
      </c>
      <c r="AL87" s="29" t="str">
        <f t="shared" si="56"/>
        <v/>
      </c>
      <c r="AM87" s="29" t="str">
        <f t="shared" si="56"/>
        <v/>
      </c>
      <c r="AN87" s="29" t="str">
        <f t="shared" si="56"/>
        <v/>
      </c>
      <c r="AO87" s="29" t="str">
        <f t="shared" si="56"/>
        <v/>
      </c>
      <c r="AP87" s="29" t="str">
        <f t="shared" si="56"/>
        <v/>
      </c>
      <c r="AQ87" s="29" t="str">
        <f t="shared" si="56"/>
        <v/>
      </c>
      <c r="AR87" s="29" t="str">
        <f t="shared" si="56"/>
        <v/>
      </c>
      <c r="AS87" s="29" t="str">
        <f t="shared" si="56"/>
        <v/>
      </c>
      <c r="AT87" s="29" t="str">
        <f t="shared" si="56"/>
        <v/>
      </c>
      <c r="AU87" s="29" t="str">
        <f t="shared" si="56"/>
        <v/>
      </c>
      <c r="AV87" s="29" t="str">
        <f t="shared" si="56"/>
        <v/>
      </c>
      <c r="AW87" s="29" t="str">
        <f t="shared" si="56"/>
        <v/>
      </c>
      <c r="AX87" s="29" t="str">
        <f t="shared" si="56"/>
        <v/>
      </c>
      <c r="AY87" s="29" t="str">
        <f t="shared" si="56"/>
        <v/>
      </c>
      <c r="AZ87" s="29" t="str">
        <f t="shared" si="56"/>
        <v/>
      </c>
      <c r="BA87" s="29" t="str">
        <f t="shared" si="56"/>
        <v/>
      </c>
      <c r="BB87" s="29" t="str">
        <f t="shared" si="56"/>
        <v/>
      </c>
      <c r="BC87" s="29" t="str">
        <f t="shared" si="56"/>
        <v/>
      </c>
      <c r="BD87" s="29" t="str">
        <f t="shared" si="56"/>
        <v/>
      </c>
      <c r="BE87" s="29" t="str">
        <f t="shared" si="56"/>
        <v/>
      </c>
      <c r="BF87" s="29" t="str">
        <f t="shared" si="56"/>
        <v/>
      </c>
      <c r="BG87" s="29" t="str">
        <f t="shared" si="56"/>
        <v/>
      </c>
      <c r="BH87" s="29" t="str">
        <f t="shared" si="56"/>
        <v/>
      </c>
      <c r="BI87" s="29" t="str">
        <f t="shared" si="56"/>
        <v/>
      </c>
      <c r="BJ87" s="29" t="str">
        <f t="shared" si="56"/>
        <v/>
      </c>
      <c r="BK87" s="29" t="str">
        <f t="shared" si="56"/>
        <v/>
      </c>
      <c r="BL87" s="29" t="str">
        <f t="shared" si="56"/>
        <v/>
      </c>
      <c r="BM87" s="30" t="str">
        <f t="shared" si="56"/>
        <v/>
      </c>
      <c r="BN87" s="11" t="s">
        <v>0</v>
      </c>
    </row>
    <row r="88" spans="1:66" ht="30" customHeight="1">
      <c r="A88" s="243"/>
      <c r="B88" s="36" t="s">
        <v>39</v>
      </c>
      <c r="C88" s="37"/>
      <c r="D88" s="12"/>
      <c r="E88" s="35"/>
      <c r="F88" s="35" t="s">
        <v>319</v>
      </c>
      <c r="G88" s="35"/>
      <c r="H88" s="35"/>
      <c r="I88" s="38"/>
      <c r="J88" s="35" t="s">
        <v>320</v>
      </c>
      <c r="K88" s="32" t="s">
        <v>321</v>
      </c>
      <c r="L88" s="39"/>
      <c r="M88" s="32"/>
      <c r="N88" s="22"/>
      <c r="O88" s="32">
        <f t="shared" si="12"/>
        <v>1</v>
      </c>
      <c r="P88" s="32">
        <f t="shared" si="55"/>
        <v>6</v>
      </c>
      <c r="Q88" s="31">
        <f>MIN(Q89:Q92)</f>
        <v>45855</v>
      </c>
      <c r="R88" s="31">
        <f>MAX(R89:R90)</f>
        <v>45861</v>
      </c>
      <c r="S88" s="22"/>
      <c r="T88" s="32">
        <f t="shared" si="21"/>
        <v>1</v>
      </c>
      <c r="U88" s="32">
        <f t="shared" si="26"/>
        <v>4</v>
      </c>
      <c r="V88" s="31">
        <f>MIN(V89:V90)</f>
        <v>45855</v>
      </c>
      <c r="W88" s="31">
        <f>MAX(W89:W90)</f>
        <v>45860</v>
      </c>
      <c r="X88" s="24"/>
      <c r="Y88" s="239">
        <f>AVERAGE(Y89,Y90)</f>
        <v>1</v>
      </c>
      <c r="Z88" s="240"/>
      <c r="AA88" s="240"/>
      <c r="AB88" s="242"/>
      <c r="AC88" s="242"/>
      <c r="AD88" s="28"/>
      <c r="AE88" s="21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30"/>
      <c r="BN88" s="11"/>
    </row>
    <row r="89" spans="1:66" ht="30" customHeight="1">
      <c r="A89" s="243"/>
      <c r="B89" s="36"/>
      <c r="C89" s="37" t="s">
        <v>43</v>
      </c>
      <c r="D89" s="12"/>
      <c r="E89" s="35"/>
      <c r="F89" s="35"/>
      <c r="G89" s="35" t="s">
        <v>322</v>
      </c>
      <c r="H89" s="35"/>
      <c r="I89" s="38"/>
      <c r="J89" s="35" t="s">
        <v>323</v>
      </c>
      <c r="K89" s="32" t="s">
        <v>324</v>
      </c>
      <c r="L89" s="39" t="s">
        <v>143</v>
      </c>
      <c r="M89" s="32" t="s">
        <v>38</v>
      </c>
      <c r="N89" s="22"/>
      <c r="O89" s="32">
        <f t="shared" si="12"/>
        <v>1</v>
      </c>
      <c r="P89" s="32">
        <f t="shared" si="55"/>
        <v>4</v>
      </c>
      <c r="Q89" s="31">
        <v>45855</v>
      </c>
      <c r="R89" s="31">
        <v>45859</v>
      </c>
      <c r="S89" s="22"/>
      <c r="T89" s="32">
        <f t="shared" si="21"/>
        <v>1</v>
      </c>
      <c r="U89" s="32">
        <f t="shared" si="26"/>
        <v>3</v>
      </c>
      <c r="V89" s="53">
        <v>45855</v>
      </c>
      <c r="W89" s="53">
        <v>45859</v>
      </c>
      <c r="X89" s="24"/>
      <c r="Y89" s="239">
        <v>1</v>
      </c>
      <c r="Z89" s="240"/>
      <c r="AA89" s="240"/>
      <c r="AB89" s="242"/>
      <c r="AC89" s="242"/>
      <c r="AD89" s="28"/>
      <c r="AE89" s="21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30"/>
      <c r="BN89" s="11"/>
    </row>
    <row r="90" spans="1:66" ht="30" customHeight="1">
      <c r="A90" s="243"/>
      <c r="B90" s="36"/>
      <c r="C90" s="37" t="s">
        <v>43</v>
      </c>
      <c r="D90" s="12"/>
      <c r="E90" s="35"/>
      <c r="F90" s="35"/>
      <c r="G90" s="35" t="s">
        <v>325</v>
      </c>
      <c r="H90" s="35"/>
      <c r="I90" s="38"/>
      <c r="J90" s="35" t="s">
        <v>326</v>
      </c>
      <c r="K90" s="32" t="s">
        <v>327</v>
      </c>
      <c r="L90" s="39" t="s">
        <v>143</v>
      </c>
      <c r="M90" s="32" t="s">
        <v>38</v>
      </c>
      <c r="N90" s="22"/>
      <c r="O90" s="32">
        <f t="shared" si="12"/>
        <v>1</v>
      </c>
      <c r="P90" s="32">
        <f t="shared" si="55"/>
        <v>1</v>
      </c>
      <c r="Q90" s="31">
        <v>45860</v>
      </c>
      <c r="R90" s="31">
        <v>45861</v>
      </c>
      <c r="S90" s="22"/>
      <c r="T90" s="32">
        <f t="shared" si="21"/>
        <v>1</v>
      </c>
      <c r="U90" s="32">
        <f t="shared" si="26"/>
        <v>19</v>
      </c>
      <c r="V90" s="53">
        <v>45886</v>
      </c>
      <c r="W90" s="53">
        <v>45860</v>
      </c>
      <c r="X90" s="24"/>
      <c r="Y90" s="239">
        <v>1</v>
      </c>
      <c r="Z90" s="240" t="s">
        <v>328</v>
      </c>
      <c r="AA90" s="240"/>
      <c r="AB90" s="242"/>
      <c r="AC90" s="242"/>
      <c r="AD90" s="28"/>
      <c r="AE90" s="21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30"/>
      <c r="BN90" s="11"/>
    </row>
    <row r="91" spans="1:66" ht="30" customHeight="1">
      <c r="A91" s="243"/>
      <c r="B91" s="36" t="s">
        <v>39</v>
      </c>
      <c r="C91" s="37"/>
      <c r="D91" s="12"/>
      <c r="E91" s="48"/>
      <c r="F91" s="35" t="s">
        <v>329</v>
      </c>
      <c r="G91" s="35"/>
      <c r="H91" s="35"/>
      <c r="I91" s="38"/>
      <c r="J91" s="35" t="s">
        <v>330</v>
      </c>
      <c r="K91" s="32" t="s">
        <v>331</v>
      </c>
      <c r="L91" s="39"/>
      <c r="M91" s="32"/>
      <c r="N91" s="22"/>
      <c r="O91" s="32">
        <f t="shared" si="12"/>
        <v>1</v>
      </c>
      <c r="P91" s="32">
        <f t="shared" si="55"/>
        <v>3</v>
      </c>
      <c r="Q91" s="31">
        <f>MIN(Q92:Q93)</f>
        <v>45862</v>
      </c>
      <c r="R91" s="31">
        <f>MAX(R92:R93)</f>
        <v>45865</v>
      </c>
      <c r="S91" s="22"/>
      <c r="T91" s="32">
        <f t="shared" si="21"/>
        <v>0</v>
      </c>
      <c r="U91" s="32">
        <f t="shared" si="26"/>
        <v>0</v>
      </c>
      <c r="V91" s="53"/>
      <c r="W91" s="53"/>
      <c r="X91" s="24"/>
      <c r="Y91" s="239">
        <f>AVERAGE(Y92:Y93)</f>
        <v>1</v>
      </c>
      <c r="Z91" s="240"/>
      <c r="AA91" s="240"/>
      <c r="AB91" s="242"/>
      <c r="AC91" s="242"/>
      <c r="AD91" s="28"/>
      <c r="AE91" s="219" t="str">
        <f t="shared" ref="AE91:BM91" si="57">IFERROR(IF(AND($Q91&gt;=(EOMONTH(AE$8,-1)+1),$R91&lt;AF$8,$I91="M"),"u",""),"")</f>
        <v/>
      </c>
      <c r="AF91" s="29" t="str">
        <f t="shared" si="57"/>
        <v/>
      </c>
      <c r="AG91" s="29" t="str">
        <f t="shared" si="57"/>
        <v/>
      </c>
      <c r="AH91" s="29" t="str">
        <f t="shared" si="57"/>
        <v/>
      </c>
      <c r="AI91" s="29" t="str">
        <f t="shared" si="57"/>
        <v/>
      </c>
      <c r="AJ91" s="29" t="str">
        <f t="shared" si="57"/>
        <v/>
      </c>
      <c r="AK91" s="29" t="str">
        <f t="shared" si="57"/>
        <v/>
      </c>
      <c r="AL91" s="29" t="str">
        <f t="shared" si="57"/>
        <v/>
      </c>
      <c r="AM91" s="29" t="str">
        <f t="shared" si="57"/>
        <v/>
      </c>
      <c r="AN91" s="29" t="str">
        <f t="shared" si="57"/>
        <v/>
      </c>
      <c r="AO91" s="29" t="str">
        <f t="shared" si="57"/>
        <v/>
      </c>
      <c r="AP91" s="29" t="str">
        <f t="shared" si="57"/>
        <v/>
      </c>
      <c r="AQ91" s="29" t="str">
        <f t="shared" si="57"/>
        <v/>
      </c>
      <c r="AR91" s="29" t="str">
        <f t="shared" si="57"/>
        <v/>
      </c>
      <c r="AS91" s="29" t="str">
        <f t="shared" si="57"/>
        <v/>
      </c>
      <c r="AT91" s="29" t="str">
        <f t="shared" si="57"/>
        <v/>
      </c>
      <c r="AU91" s="29" t="str">
        <f t="shared" si="57"/>
        <v/>
      </c>
      <c r="AV91" s="29" t="str">
        <f t="shared" si="57"/>
        <v/>
      </c>
      <c r="AW91" s="29" t="str">
        <f t="shared" si="57"/>
        <v/>
      </c>
      <c r="AX91" s="29" t="str">
        <f t="shared" si="57"/>
        <v/>
      </c>
      <c r="AY91" s="29" t="str">
        <f t="shared" si="57"/>
        <v/>
      </c>
      <c r="AZ91" s="29" t="str">
        <f t="shared" si="57"/>
        <v/>
      </c>
      <c r="BA91" s="29" t="str">
        <f t="shared" si="57"/>
        <v/>
      </c>
      <c r="BB91" s="29" t="str">
        <f t="shared" si="57"/>
        <v/>
      </c>
      <c r="BC91" s="29" t="str">
        <f t="shared" si="57"/>
        <v/>
      </c>
      <c r="BD91" s="29" t="str">
        <f t="shared" si="57"/>
        <v/>
      </c>
      <c r="BE91" s="29" t="str">
        <f t="shared" si="57"/>
        <v/>
      </c>
      <c r="BF91" s="29" t="str">
        <f t="shared" si="57"/>
        <v/>
      </c>
      <c r="BG91" s="29" t="str">
        <f t="shared" si="57"/>
        <v/>
      </c>
      <c r="BH91" s="29" t="str">
        <f t="shared" si="57"/>
        <v/>
      </c>
      <c r="BI91" s="29" t="str">
        <f t="shared" si="57"/>
        <v/>
      </c>
      <c r="BJ91" s="29" t="str">
        <f t="shared" si="57"/>
        <v/>
      </c>
      <c r="BK91" s="29" t="str">
        <f t="shared" si="57"/>
        <v/>
      </c>
      <c r="BL91" s="29" t="str">
        <f t="shared" si="57"/>
        <v/>
      </c>
      <c r="BM91" s="30" t="str">
        <f t="shared" si="57"/>
        <v/>
      </c>
      <c r="BN91" s="11" t="s">
        <v>0</v>
      </c>
    </row>
    <row r="92" spans="1:66" ht="30" customHeight="1">
      <c r="A92" s="243"/>
      <c r="B92" s="36"/>
      <c r="C92" s="37" t="s">
        <v>43</v>
      </c>
      <c r="D92" s="12"/>
      <c r="F92" s="35"/>
      <c r="G92" s="35" t="s">
        <v>332</v>
      </c>
      <c r="H92" s="35"/>
      <c r="I92" s="38"/>
      <c r="J92" s="35" t="s">
        <v>333</v>
      </c>
      <c r="K92" s="32" t="s">
        <v>334</v>
      </c>
      <c r="L92" s="39" t="s">
        <v>143</v>
      </c>
      <c r="M92" s="32" t="s">
        <v>38</v>
      </c>
      <c r="N92" s="22"/>
      <c r="O92" s="32">
        <f t="shared" si="12"/>
        <v>1</v>
      </c>
      <c r="P92" s="32">
        <f t="shared" si="55"/>
        <v>1</v>
      </c>
      <c r="Q92" s="31">
        <v>45862</v>
      </c>
      <c r="R92" s="31">
        <v>45863</v>
      </c>
      <c r="S92" s="22"/>
      <c r="T92" s="32">
        <f t="shared" si="21"/>
        <v>1</v>
      </c>
      <c r="U92" s="32">
        <f t="shared" si="26"/>
        <v>5</v>
      </c>
      <c r="V92" s="53">
        <v>45859</v>
      </c>
      <c r="W92" s="53">
        <v>45863</v>
      </c>
      <c r="X92" s="24"/>
      <c r="Y92" s="239">
        <v>1</v>
      </c>
      <c r="Z92" s="240" t="s">
        <v>328</v>
      </c>
      <c r="AA92" s="240"/>
      <c r="AB92" s="242"/>
      <c r="AC92" s="242"/>
      <c r="AD92" s="28"/>
      <c r="AE92" s="21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30"/>
      <c r="BN92" s="11"/>
    </row>
    <row r="93" spans="1:66" ht="30" customHeight="1">
      <c r="A93" s="243"/>
      <c r="B93" s="36"/>
      <c r="C93" s="37" t="s">
        <v>43</v>
      </c>
      <c r="D93" s="12"/>
      <c r="F93" s="35"/>
      <c r="G93" s="35" t="s">
        <v>335</v>
      </c>
      <c r="H93" s="35"/>
      <c r="I93" s="38"/>
      <c r="J93" s="35" t="s">
        <v>336</v>
      </c>
      <c r="K93" s="32" t="s">
        <v>337</v>
      </c>
      <c r="L93" s="39" t="s">
        <v>143</v>
      </c>
      <c r="M93" s="32" t="s">
        <v>38</v>
      </c>
      <c r="N93" s="22"/>
      <c r="O93" s="32">
        <f t="shared" si="12"/>
        <v>1</v>
      </c>
      <c r="P93" s="32">
        <f t="shared" si="55"/>
        <v>2</v>
      </c>
      <c r="Q93" s="31">
        <v>45863</v>
      </c>
      <c r="R93" s="31">
        <v>45865</v>
      </c>
      <c r="S93" s="22"/>
      <c r="T93" s="32">
        <f t="shared" si="21"/>
        <v>1</v>
      </c>
      <c r="U93" s="32">
        <f t="shared" si="26"/>
        <v>1</v>
      </c>
      <c r="V93" s="53">
        <v>45863</v>
      </c>
      <c r="W93" s="53">
        <v>45865</v>
      </c>
      <c r="X93" s="24"/>
      <c r="Y93" s="239">
        <v>1</v>
      </c>
      <c r="Z93" s="240"/>
      <c r="AA93" s="240"/>
      <c r="AB93" s="242"/>
      <c r="AC93" s="242"/>
      <c r="AD93" s="28"/>
      <c r="AE93" s="21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30"/>
      <c r="BN93" s="11"/>
    </row>
    <row r="94" spans="1:66" ht="30" customHeight="1">
      <c r="A94" s="243"/>
      <c r="B94" s="36" t="s">
        <v>39</v>
      </c>
      <c r="C94" s="37"/>
      <c r="D94" s="12"/>
      <c r="E94" s="48"/>
      <c r="F94" s="35" t="s">
        <v>338</v>
      </c>
      <c r="G94" s="35"/>
      <c r="H94" s="35"/>
      <c r="I94" s="38"/>
      <c r="J94" s="35" t="s">
        <v>339</v>
      </c>
      <c r="K94" s="32" t="s">
        <v>340</v>
      </c>
      <c r="L94" s="39"/>
      <c r="M94" s="32"/>
      <c r="N94" s="22"/>
      <c r="O94" s="32">
        <f t="shared" si="12"/>
        <v>1</v>
      </c>
      <c r="P94" s="32">
        <f t="shared" si="55"/>
        <v>5</v>
      </c>
      <c r="Q94" s="31">
        <f>MIN(Q95:Q96)</f>
        <v>45866</v>
      </c>
      <c r="R94" s="31">
        <f>MAX(R95:R96)</f>
        <v>45871</v>
      </c>
      <c r="S94" s="22"/>
      <c r="T94" s="32">
        <f t="shared" si="21"/>
        <v>0</v>
      </c>
      <c r="U94" s="32">
        <f t="shared" si="26"/>
        <v>0</v>
      </c>
      <c r="V94" s="53"/>
      <c r="W94" s="53"/>
      <c r="X94" s="24"/>
      <c r="Y94" s="239">
        <f>AVERAGE(Y95:Y96)</f>
        <v>1</v>
      </c>
      <c r="Z94" s="240"/>
      <c r="AA94" s="240"/>
      <c r="AB94" s="242"/>
      <c r="AC94" s="242"/>
      <c r="AD94" s="28"/>
      <c r="AE94" s="21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30"/>
      <c r="BN94" s="11"/>
    </row>
    <row r="95" spans="1:66" ht="30" customHeight="1">
      <c r="A95" s="243"/>
      <c r="B95" s="36"/>
      <c r="C95" s="37" t="s">
        <v>43</v>
      </c>
      <c r="D95" s="12"/>
      <c r="F95" s="35"/>
      <c r="G95" s="35" t="s">
        <v>341</v>
      </c>
      <c r="H95" s="35"/>
      <c r="I95" s="38"/>
      <c r="J95" s="35" t="s">
        <v>342</v>
      </c>
      <c r="K95" s="32" t="s">
        <v>343</v>
      </c>
      <c r="L95" s="39" t="s">
        <v>143</v>
      </c>
      <c r="M95" s="32"/>
      <c r="N95" s="22"/>
      <c r="O95" s="32">
        <f t="shared" si="12"/>
        <v>1</v>
      </c>
      <c r="P95" s="32">
        <f t="shared" si="55"/>
        <v>1</v>
      </c>
      <c r="Q95" s="31">
        <v>45866</v>
      </c>
      <c r="R95" s="31">
        <v>45867</v>
      </c>
      <c r="S95" s="22"/>
      <c r="T95" s="32">
        <f t="shared" si="21"/>
        <v>1</v>
      </c>
      <c r="U95" s="32">
        <f t="shared" si="26"/>
        <v>3</v>
      </c>
      <c r="V95" s="53">
        <v>45866</v>
      </c>
      <c r="W95" s="53">
        <v>45868</v>
      </c>
      <c r="X95" s="24"/>
      <c r="Y95" s="239">
        <v>1</v>
      </c>
      <c r="Z95" s="240" t="s">
        <v>344</v>
      </c>
      <c r="AA95" s="240"/>
      <c r="AB95" s="242"/>
      <c r="AC95" s="242"/>
      <c r="AD95" s="28"/>
      <c r="AE95" s="21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30"/>
      <c r="BN95" s="11"/>
    </row>
    <row r="96" spans="1:66" ht="30" customHeight="1">
      <c r="A96" s="243"/>
      <c r="B96" s="36"/>
      <c r="C96" s="37" t="s">
        <v>43</v>
      </c>
      <c r="D96" s="12"/>
      <c r="F96" s="35"/>
      <c r="G96" s="35" t="s">
        <v>345</v>
      </c>
      <c r="H96" s="35"/>
      <c r="I96" s="38"/>
      <c r="J96" s="35" t="s">
        <v>346</v>
      </c>
      <c r="K96" s="32" t="s">
        <v>347</v>
      </c>
      <c r="L96" s="39" t="s">
        <v>143</v>
      </c>
      <c r="M96" s="32"/>
      <c r="N96" s="22"/>
      <c r="O96" s="32">
        <f t="shared" si="12"/>
        <v>1</v>
      </c>
      <c r="P96" s="32">
        <f t="shared" si="55"/>
        <v>3</v>
      </c>
      <c r="Q96" s="31">
        <v>45868</v>
      </c>
      <c r="R96" s="31">
        <v>45871</v>
      </c>
      <c r="S96" s="22"/>
      <c r="T96" s="32">
        <f t="shared" si="21"/>
        <v>1</v>
      </c>
      <c r="U96" s="32">
        <f t="shared" si="26"/>
        <v>3</v>
      </c>
      <c r="V96" s="53">
        <v>45868</v>
      </c>
      <c r="W96" s="53">
        <v>45871</v>
      </c>
      <c r="X96" s="24"/>
      <c r="Y96" s="239">
        <v>1</v>
      </c>
      <c r="Z96" s="240"/>
      <c r="AA96" s="240"/>
      <c r="AB96" s="242"/>
      <c r="AC96" s="242"/>
      <c r="AD96" s="28"/>
      <c r="AE96" s="21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30"/>
      <c r="BN96" s="11"/>
    </row>
    <row r="97" spans="1:66" ht="30" customHeight="1">
      <c r="A97" s="220" t="s">
        <v>34</v>
      </c>
      <c r="B97" s="221"/>
      <c r="C97" s="222"/>
      <c r="D97" s="223"/>
      <c r="E97" s="223" t="s">
        <v>348</v>
      </c>
      <c r="F97" s="223"/>
      <c r="G97" s="223"/>
      <c r="H97" s="223"/>
      <c r="I97" s="245"/>
      <c r="J97" s="227" t="s">
        <v>349</v>
      </c>
      <c r="K97" s="244" t="s">
        <v>350</v>
      </c>
      <c r="L97" s="54" t="s">
        <v>99</v>
      </c>
      <c r="M97" s="244"/>
      <c r="N97" s="22"/>
      <c r="O97" s="32">
        <f t="shared" si="12"/>
        <v>1</v>
      </c>
      <c r="P97" s="32">
        <f t="shared" si="55"/>
        <v>21</v>
      </c>
      <c r="Q97" s="246">
        <f>MIN(Q99:Q108)</f>
        <v>45875</v>
      </c>
      <c r="R97" s="246">
        <f>MAX(R99:R108)</f>
        <v>45896</v>
      </c>
      <c r="S97" s="22"/>
      <c r="T97" s="32">
        <f t="shared" si="21"/>
        <v>1</v>
      </c>
      <c r="U97" s="32">
        <f t="shared" si="26"/>
        <v>16</v>
      </c>
      <c r="V97" s="31">
        <f>MIN(V98:V100)</f>
        <v>45875</v>
      </c>
      <c r="W97" s="31">
        <f>MAX(W98:W108)</f>
        <v>45896</v>
      </c>
      <c r="X97" s="24"/>
      <c r="Y97" s="239">
        <f>AVERAGE(Y98,Y101,Y104)</f>
        <v>1</v>
      </c>
      <c r="Z97" s="227"/>
      <c r="AA97" s="227"/>
      <c r="AB97" s="228"/>
      <c r="AC97" s="228"/>
      <c r="AD97" s="28"/>
      <c r="AE97" s="219" t="str">
        <f t="shared" ref="AE97:BM97" si="58">IFERROR(IF(AND($Q97&gt;=(EOMONTH(AE$8,-1)+1),$R97&lt;AF$8,$I97="M"),"u",""),"")</f>
        <v/>
      </c>
      <c r="AF97" s="29" t="str">
        <f t="shared" si="58"/>
        <v/>
      </c>
      <c r="AG97" s="29" t="str">
        <f t="shared" si="58"/>
        <v/>
      </c>
      <c r="AH97" s="29" t="str">
        <f t="shared" si="58"/>
        <v/>
      </c>
      <c r="AI97" s="29" t="str">
        <f t="shared" si="58"/>
        <v/>
      </c>
      <c r="AJ97" s="29" t="str">
        <f t="shared" si="58"/>
        <v/>
      </c>
      <c r="AK97" s="29" t="str">
        <f t="shared" si="58"/>
        <v/>
      </c>
      <c r="AL97" s="29" t="str">
        <f t="shared" si="58"/>
        <v/>
      </c>
      <c r="AM97" s="29" t="str">
        <f t="shared" si="58"/>
        <v/>
      </c>
      <c r="AN97" s="29" t="str">
        <f t="shared" si="58"/>
        <v/>
      </c>
      <c r="AO97" s="29" t="str">
        <f t="shared" si="58"/>
        <v/>
      </c>
      <c r="AP97" s="29" t="str">
        <f t="shared" si="58"/>
        <v/>
      </c>
      <c r="AQ97" s="29" t="str">
        <f t="shared" si="58"/>
        <v/>
      </c>
      <c r="AR97" s="29" t="str">
        <f t="shared" si="58"/>
        <v/>
      </c>
      <c r="AS97" s="29" t="str">
        <f t="shared" si="58"/>
        <v/>
      </c>
      <c r="AT97" s="29" t="str">
        <f t="shared" si="58"/>
        <v/>
      </c>
      <c r="AU97" s="29" t="str">
        <f t="shared" si="58"/>
        <v/>
      </c>
      <c r="AV97" s="29" t="str">
        <f t="shared" si="58"/>
        <v/>
      </c>
      <c r="AW97" s="29" t="str">
        <f t="shared" si="58"/>
        <v/>
      </c>
      <c r="AX97" s="29" t="str">
        <f t="shared" si="58"/>
        <v/>
      </c>
      <c r="AY97" s="29" t="str">
        <f t="shared" si="58"/>
        <v/>
      </c>
      <c r="AZ97" s="29" t="str">
        <f t="shared" si="58"/>
        <v/>
      </c>
      <c r="BA97" s="29" t="str">
        <f t="shared" si="58"/>
        <v/>
      </c>
      <c r="BB97" s="29" t="str">
        <f t="shared" si="58"/>
        <v/>
      </c>
      <c r="BC97" s="29" t="str">
        <f t="shared" si="58"/>
        <v/>
      </c>
      <c r="BD97" s="29" t="str">
        <f t="shared" si="58"/>
        <v/>
      </c>
      <c r="BE97" s="29" t="str">
        <f t="shared" si="58"/>
        <v/>
      </c>
      <c r="BF97" s="29" t="str">
        <f t="shared" si="58"/>
        <v/>
      </c>
      <c r="BG97" s="29" t="str">
        <f t="shared" si="58"/>
        <v/>
      </c>
      <c r="BH97" s="29" t="str">
        <f t="shared" si="58"/>
        <v/>
      </c>
      <c r="BI97" s="29" t="str">
        <f t="shared" si="58"/>
        <v/>
      </c>
      <c r="BJ97" s="29" t="str">
        <f t="shared" si="58"/>
        <v/>
      </c>
      <c r="BK97" s="29" t="str">
        <f t="shared" si="58"/>
        <v/>
      </c>
      <c r="BL97" s="29" t="str">
        <f t="shared" si="58"/>
        <v/>
      </c>
      <c r="BM97" s="30" t="str">
        <f t="shared" si="58"/>
        <v/>
      </c>
      <c r="BN97" s="11" t="s">
        <v>0</v>
      </c>
    </row>
    <row r="98" spans="1:66" ht="30" customHeight="1">
      <c r="A98" s="230"/>
      <c r="B98" s="231" t="s">
        <v>39</v>
      </c>
      <c r="C98" s="232"/>
      <c r="D98" s="233"/>
      <c r="E98" s="234"/>
      <c r="F98" s="234" t="s">
        <v>351</v>
      </c>
      <c r="G98" s="234"/>
      <c r="H98" s="234"/>
      <c r="I98" s="235"/>
      <c r="J98" s="240" t="s">
        <v>352</v>
      </c>
      <c r="K98" s="236" t="s">
        <v>353</v>
      </c>
      <c r="L98" s="237" t="s">
        <v>143</v>
      </c>
      <c r="M98" s="236"/>
      <c r="N98" s="22"/>
      <c r="O98" s="32">
        <f t="shared" si="12"/>
        <v>1</v>
      </c>
      <c r="P98" s="32">
        <f t="shared" si="55"/>
        <v>4</v>
      </c>
      <c r="Q98" s="238">
        <f>MIN(Q99:Q100)</f>
        <v>45875</v>
      </c>
      <c r="R98" s="238">
        <f>MAX(R99:R100)</f>
        <v>45879</v>
      </c>
      <c r="S98" s="22"/>
      <c r="T98" s="32">
        <f t="shared" si="21"/>
        <v>1</v>
      </c>
      <c r="U98" s="32">
        <f t="shared" si="26"/>
        <v>3</v>
      </c>
      <c r="V98" s="238">
        <f>MIN(V99:V100)</f>
        <v>45875</v>
      </c>
      <c r="W98" s="238">
        <f>MAX(W99:W100)</f>
        <v>45879</v>
      </c>
      <c r="X98" s="24"/>
      <c r="Y98" s="239">
        <f>AVERAGE(Y99:Y100)</f>
        <v>1</v>
      </c>
      <c r="Z98" s="240"/>
      <c r="AA98" s="240"/>
      <c r="AB98" s="242"/>
      <c r="AC98" s="242"/>
      <c r="AD98" s="28"/>
      <c r="AE98" s="219" t="str">
        <f t="shared" ref="AE98:BM98" si="59">IFERROR(IF(AND($Q98&gt;=(EOMONTH(AE$8,-1)+1),$R98&lt;AF$8,$I98="M"),"u",""),"")</f>
        <v/>
      </c>
      <c r="AF98" s="29" t="str">
        <f t="shared" si="59"/>
        <v/>
      </c>
      <c r="AG98" s="29" t="str">
        <f t="shared" si="59"/>
        <v/>
      </c>
      <c r="AH98" s="29" t="str">
        <f t="shared" si="59"/>
        <v/>
      </c>
      <c r="AI98" s="29" t="str">
        <f t="shared" si="59"/>
        <v/>
      </c>
      <c r="AJ98" s="29" t="str">
        <f t="shared" si="59"/>
        <v/>
      </c>
      <c r="AK98" s="29" t="str">
        <f t="shared" si="59"/>
        <v/>
      </c>
      <c r="AL98" s="29" t="str">
        <f t="shared" si="59"/>
        <v/>
      </c>
      <c r="AM98" s="29" t="str">
        <f t="shared" si="59"/>
        <v/>
      </c>
      <c r="AN98" s="29" t="str">
        <f t="shared" si="59"/>
        <v/>
      </c>
      <c r="AO98" s="29" t="str">
        <f t="shared" si="59"/>
        <v/>
      </c>
      <c r="AP98" s="29" t="str">
        <f t="shared" si="59"/>
        <v/>
      </c>
      <c r="AQ98" s="29" t="str">
        <f t="shared" si="59"/>
        <v/>
      </c>
      <c r="AR98" s="29" t="str">
        <f t="shared" si="59"/>
        <v/>
      </c>
      <c r="AS98" s="29" t="str">
        <f t="shared" si="59"/>
        <v/>
      </c>
      <c r="AT98" s="29" t="str">
        <f t="shared" si="59"/>
        <v/>
      </c>
      <c r="AU98" s="29" t="str">
        <f t="shared" si="59"/>
        <v/>
      </c>
      <c r="AV98" s="29" t="str">
        <f t="shared" si="59"/>
        <v/>
      </c>
      <c r="AW98" s="29" t="str">
        <f t="shared" si="59"/>
        <v/>
      </c>
      <c r="AX98" s="29" t="str">
        <f t="shared" si="59"/>
        <v/>
      </c>
      <c r="AY98" s="29" t="str">
        <f t="shared" si="59"/>
        <v/>
      </c>
      <c r="AZ98" s="29" t="str">
        <f t="shared" si="59"/>
        <v/>
      </c>
      <c r="BA98" s="29" t="str">
        <f t="shared" si="59"/>
        <v/>
      </c>
      <c r="BB98" s="29" t="str">
        <f t="shared" si="59"/>
        <v/>
      </c>
      <c r="BC98" s="29" t="str">
        <f t="shared" si="59"/>
        <v/>
      </c>
      <c r="BD98" s="29" t="str">
        <f t="shared" si="59"/>
        <v/>
      </c>
      <c r="BE98" s="29" t="str">
        <f t="shared" si="59"/>
        <v/>
      </c>
      <c r="BF98" s="29" t="str">
        <f t="shared" si="59"/>
        <v/>
      </c>
      <c r="BG98" s="29" t="str">
        <f t="shared" si="59"/>
        <v/>
      </c>
      <c r="BH98" s="29" t="str">
        <f t="shared" si="59"/>
        <v/>
      </c>
      <c r="BI98" s="29" t="str">
        <f t="shared" si="59"/>
        <v/>
      </c>
      <c r="BJ98" s="29" t="str">
        <f t="shared" si="59"/>
        <v/>
      </c>
      <c r="BK98" s="29" t="str">
        <f t="shared" si="59"/>
        <v/>
      </c>
      <c r="BL98" s="29" t="str">
        <f t="shared" si="59"/>
        <v/>
      </c>
      <c r="BM98" s="30" t="str">
        <f t="shared" si="59"/>
        <v/>
      </c>
      <c r="BN98" s="11" t="s">
        <v>0</v>
      </c>
    </row>
    <row r="99" spans="1:66" ht="30" customHeight="1">
      <c r="A99" s="243"/>
      <c r="B99" s="36"/>
      <c r="C99" s="37" t="s">
        <v>43</v>
      </c>
      <c r="D99" s="12"/>
      <c r="F99" s="35"/>
      <c r="G99" s="35" t="s">
        <v>354</v>
      </c>
      <c r="H99" s="35"/>
      <c r="I99" s="38"/>
      <c r="J99" s="35" t="s">
        <v>355</v>
      </c>
      <c r="K99" s="32" t="s">
        <v>356</v>
      </c>
      <c r="L99" s="39" t="s">
        <v>357</v>
      </c>
      <c r="M99" s="32"/>
      <c r="N99" s="22"/>
      <c r="O99" s="32">
        <f t="shared" si="12"/>
        <v>1</v>
      </c>
      <c r="P99" s="32">
        <f t="shared" si="55"/>
        <v>1</v>
      </c>
      <c r="Q99" s="31">
        <v>45875</v>
      </c>
      <c r="R99" s="31">
        <v>45876</v>
      </c>
      <c r="S99" s="22"/>
      <c r="T99" s="32">
        <f t="shared" si="21"/>
        <v>1</v>
      </c>
      <c r="U99" s="32">
        <f t="shared" si="26"/>
        <v>2</v>
      </c>
      <c r="V99" s="31">
        <v>45875</v>
      </c>
      <c r="W99" s="31">
        <v>45876</v>
      </c>
      <c r="X99" s="24"/>
      <c r="Y99" s="239">
        <v>1</v>
      </c>
      <c r="Z99" s="240"/>
      <c r="AA99" s="240"/>
      <c r="AB99" s="242"/>
      <c r="AC99" s="242"/>
      <c r="AD99" s="28"/>
      <c r="AE99" s="219" t="str">
        <f t="shared" ref="AE99:BM99" si="60">IFERROR(IF(AND($Q99&gt;=(EOMONTH(AE$8,-1)+1),$R99&lt;AF$8,$I99="M"),"u",""),"")</f>
        <v/>
      </c>
      <c r="AF99" s="29" t="str">
        <f t="shared" si="60"/>
        <v/>
      </c>
      <c r="AG99" s="29" t="str">
        <f t="shared" si="60"/>
        <v/>
      </c>
      <c r="AH99" s="29" t="str">
        <f t="shared" si="60"/>
        <v/>
      </c>
      <c r="AI99" s="29" t="str">
        <f t="shared" si="60"/>
        <v/>
      </c>
      <c r="AJ99" s="29" t="str">
        <f t="shared" si="60"/>
        <v/>
      </c>
      <c r="AK99" s="29" t="str">
        <f t="shared" si="60"/>
        <v/>
      </c>
      <c r="AL99" s="29" t="str">
        <f t="shared" si="60"/>
        <v/>
      </c>
      <c r="AM99" s="29" t="str">
        <f t="shared" si="60"/>
        <v/>
      </c>
      <c r="AN99" s="29" t="str">
        <f t="shared" si="60"/>
        <v/>
      </c>
      <c r="AO99" s="29" t="str">
        <f t="shared" si="60"/>
        <v/>
      </c>
      <c r="AP99" s="29" t="str">
        <f t="shared" si="60"/>
        <v/>
      </c>
      <c r="AQ99" s="29" t="str">
        <f t="shared" si="60"/>
        <v/>
      </c>
      <c r="AR99" s="29" t="str">
        <f t="shared" si="60"/>
        <v/>
      </c>
      <c r="AS99" s="29" t="str">
        <f t="shared" si="60"/>
        <v/>
      </c>
      <c r="AT99" s="29" t="str">
        <f t="shared" si="60"/>
        <v/>
      </c>
      <c r="AU99" s="29" t="str">
        <f t="shared" si="60"/>
        <v/>
      </c>
      <c r="AV99" s="29" t="str">
        <f t="shared" si="60"/>
        <v/>
      </c>
      <c r="AW99" s="29" t="str">
        <f t="shared" si="60"/>
        <v/>
      </c>
      <c r="AX99" s="29" t="str">
        <f t="shared" si="60"/>
        <v/>
      </c>
      <c r="AY99" s="29" t="str">
        <f t="shared" si="60"/>
        <v/>
      </c>
      <c r="AZ99" s="29" t="str">
        <f t="shared" si="60"/>
        <v/>
      </c>
      <c r="BA99" s="29" t="str">
        <f t="shared" si="60"/>
        <v/>
      </c>
      <c r="BB99" s="29" t="str">
        <f t="shared" si="60"/>
        <v/>
      </c>
      <c r="BC99" s="29" t="str">
        <f t="shared" si="60"/>
        <v/>
      </c>
      <c r="BD99" s="29" t="str">
        <f t="shared" si="60"/>
        <v/>
      </c>
      <c r="BE99" s="29" t="str">
        <f t="shared" si="60"/>
        <v/>
      </c>
      <c r="BF99" s="29" t="str">
        <f t="shared" si="60"/>
        <v/>
      </c>
      <c r="BG99" s="29" t="str">
        <f t="shared" si="60"/>
        <v/>
      </c>
      <c r="BH99" s="29" t="str">
        <f t="shared" si="60"/>
        <v/>
      </c>
      <c r="BI99" s="29" t="str">
        <f t="shared" si="60"/>
        <v/>
      </c>
      <c r="BJ99" s="29" t="str">
        <f t="shared" si="60"/>
        <v/>
      </c>
      <c r="BK99" s="29" t="str">
        <f t="shared" si="60"/>
        <v/>
      </c>
      <c r="BL99" s="29" t="str">
        <f t="shared" si="60"/>
        <v/>
      </c>
      <c r="BM99" s="30" t="str">
        <f t="shared" si="60"/>
        <v/>
      </c>
      <c r="BN99" s="11" t="s">
        <v>0</v>
      </c>
    </row>
    <row r="100" spans="1:66" ht="30" customHeight="1">
      <c r="A100" s="243"/>
      <c r="B100" s="36"/>
      <c r="C100" s="37" t="s">
        <v>43</v>
      </c>
      <c r="D100" s="12"/>
      <c r="F100" s="35"/>
      <c r="G100" s="35" t="s">
        <v>358</v>
      </c>
      <c r="H100" s="35"/>
      <c r="I100" s="38"/>
      <c r="J100" s="35" t="s">
        <v>359</v>
      </c>
      <c r="K100" s="32" t="s">
        <v>360</v>
      </c>
      <c r="L100" s="39" t="s">
        <v>143</v>
      </c>
      <c r="M100" s="32"/>
      <c r="N100" s="22"/>
      <c r="O100" s="32">
        <f t="shared" si="12"/>
        <v>1</v>
      </c>
      <c r="P100" s="32">
        <f t="shared" si="55"/>
        <v>2</v>
      </c>
      <c r="Q100" s="31">
        <v>45877</v>
      </c>
      <c r="R100" s="31">
        <v>45879</v>
      </c>
      <c r="S100" s="22"/>
      <c r="T100" s="32">
        <f t="shared" si="21"/>
        <v>1</v>
      </c>
      <c r="U100" s="32">
        <f t="shared" si="26"/>
        <v>1</v>
      </c>
      <c r="V100" s="31">
        <v>45877</v>
      </c>
      <c r="W100" s="31">
        <v>45879</v>
      </c>
      <c r="X100" s="24"/>
      <c r="Y100" s="239">
        <v>1</v>
      </c>
      <c r="Z100" s="240" t="s">
        <v>361</v>
      </c>
      <c r="AA100" s="240"/>
      <c r="AB100" s="242"/>
      <c r="AC100" s="242"/>
      <c r="AD100" s="28"/>
      <c r="AE100" s="21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30"/>
      <c r="BN100" s="11"/>
    </row>
    <row r="101" spans="1:66" ht="30" customHeight="1">
      <c r="A101" s="243"/>
      <c r="B101" s="36" t="s">
        <v>39</v>
      </c>
      <c r="C101" s="37"/>
      <c r="D101" s="12"/>
      <c r="E101" s="48"/>
      <c r="F101" s="35" t="s">
        <v>362</v>
      </c>
      <c r="G101" s="35"/>
      <c r="H101" s="35"/>
      <c r="I101" s="38"/>
      <c r="J101" s="35" t="s">
        <v>363</v>
      </c>
      <c r="K101" s="32" t="s">
        <v>364</v>
      </c>
      <c r="L101" s="39"/>
      <c r="M101" s="236"/>
      <c r="N101" s="22"/>
      <c r="O101" s="32">
        <f t="shared" si="12"/>
        <v>1</v>
      </c>
      <c r="P101" s="32">
        <f t="shared" si="55"/>
        <v>4</v>
      </c>
      <c r="Q101" s="238">
        <f>MIN(Q102:Q103)</f>
        <v>45880</v>
      </c>
      <c r="R101" s="238">
        <f>MAX(R102:R103)</f>
        <v>45884</v>
      </c>
      <c r="S101" s="22"/>
      <c r="T101" s="32">
        <f t="shared" si="21"/>
        <v>1</v>
      </c>
      <c r="U101" s="32">
        <f t="shared" si="26"/>
        <v>5</v>
      </c>
      <c r="V101" s="238">
        <f>MIN(V102:V103)</f>
        <v>45880</v>
      </c>
      <c r="W101" s="238">
        <f>MAX(W102:W103)</f>
        <v>45884</v>
      </c>
      <c r="X101" s="24"/>
      <c r="Y101" s="239">
        <f>AVERAGE(Y102:Y103)</f>
        <v>1</v>
      </c>
      <c r="Z101" s="240"/>
      <c r="AA101" s="240"/>
      <c r="AB101" s="242"/>
      <c r="AC101" s="242"/>
      <c r="AD101" s="28"/>
      <c r="AE101" s="21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30"/>
      <c r="BN101" s="11"/>
    </row>
    <row r="102" spans="1:66" ht="30" customHeight="1">
      <c r="A102" s="243"/>
      <c r="B102" s="36"/>
      <c r="C102" s="37" t="s">
        <v>43</v>
      </c>
      <c r="D102" s="12"/>
      <c r="F102" s="35"/>
      <c r="G102" s="35" t="s">
        <v>365</v>
      </c>
      <c r="H102" s="35"/>
      <c r="I102" s="38"/>
      <c r="J102" s="35" t="s">
        <v>366</v>
      </c>
      <c r="K102" s="32" t="s">
        <v>367</v>
      </c>
      <c r="L102" s="39" t="s">
        <v>99</v>
      </c>
      <c r="M102" s="32" t="s">
        <v>160</v>
      </c>
      <c r="N102" s="22"/>
      <c r="O102" s="32">
        <f t="shared" si="12"/>
        <v>1</v>
      </c>
      <c r="P102" s="32">
        <f t="shared" si="55"/>
        <v>1</v>
      </c>
      <c r="Q102" s="31">
        <v>45880</v>
      </c>
      <c r="R102" s="31">
        <v>45881</v>
      </c>
      <c r="S102" s="22"/>
      <c r="T102" s="32">
        <f t="shared" ref="T102:T116" si="61">ROUNDUP(U102/30,0)</f>
        <v>1</v>
      </c>
      <c r="U102" s="32">
        <f t="shared" si="26"/>
        <v>2</v>
      </c>
      <c r="V102" s="31">
        <v>45880</v>
      </c>
      <c r="W102" s="31">
        <v>45881</v>
      </c>
      <c r="X102" s="24"/>
      <c r="Y102" s="239">
        <v>1</v>
      </c>
      <c r="Z102" s="240"/>
      <c r="AA102" s="240"/>
      <c r="AB102" s="242"/>
      <c r="AC102" s="242"/>
      <c r="AD102" s="28"/>
      <c r="AE102" s="21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30"/>
      <c r="BN102" s="11"/>
    </row>
    <row r="103" spans="1:66" ht="30" customHeight="1">
      <c r="A103" s="243"/>
      <c r="B103" s="36"/>
      <c r="C103" s="37" t="s">
        <v>43</v>
      </c>
      <c r="D103" s="12"/>
      <c r="F103" s="35"/>
      <c r="G103" s="35" t="s">
        <v>368</v>
      </c>
      <c r="H103" s="35"/>
      <c r="I103" s="38"/>
      <c r="J103" s="35" t="s">
        <v>369</v>
      </c>
      <c r="K103" s="32" t="s">
        <v>370</v>
      </c>
      <c r="L103" s="39" t="s">
        <v>99</v>
      </c>
      <c r="M103" s="32" t="s">
        <v>160</v>
      </c>
      <c r="N103" s="22"/>
      <c r="O103" s="32">
        <f t="shared" si="12"/>
        <v>1</v>
      </c>
      <c r="P103" s="32">
        <f t="shared" si="55"/>
        <v>2</v>
      </c>
      <c r="Q103" s="31">
        <v>45882</v>
      </c>
      <c r="R103" s="31">
        <v>45884</v>
      </c>
      <c r="S103" s="22"/>
      <c r="T103" s="32">
        <f t="shared" si="61"/>
        <v>1</v>
      </c>
      <c r="U103" s="32">
        <f t="shared" si="26"/>
        <v>3</v>
      </c>
      <c r="V103" s="31">
        <v>45882</v>
      </c>
      <c r="W103" s="31">
        <v>45884</v>
      </c>
      <c r="X103" s="24"/>
      <c r="Y103" s="239">
        <v>1</v>
      </c>
      <c r="Z103" s="240" t="s">
        <v>371</v>
      </c>
      <c r="AA103" s="240"/>
      <c r="AB103" s="242"/>
      <c r="AC103" s="242"/>
      <c r="AD103" s="28"/>
      <c r="AE103" s="21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30"/>
      <c r="BN103" s="11"/>
    </row>
    <row r="104" spans="1:66" ht="30" customHeight="1">
      <c r="A104" s="243"/>
      <c r="B104" s="36" t="s">
        <v>39</v>
      </c>
      <c r="C104" s="37"/>
      <c r="D104" s="12"/>
      <c r="E104" s="48"/>
      <c r="F104" s="35" t="s">
        <v>372</v>
      </c>
      <c r="G104" s="35"/>
      <c r="H104" s="35"/>
      <c r="I104" s="38"/>
      <c r="J104" s="35" t="s">
        <v>373</v>
      </c>
      <c r="K104" s="32" t="s">
        <v>374</v>
      </c>
      <c r="L104" s="39"/>
      <c r="M104" s="32"/>
      <c r="N104" s="22"/>
      <c r="O104" s="32">
        <f t="shared" si="12"/>
        <v>1</v>
      </c>
      <c r="P104" s="32">
        <f t="shared" si="55"/>
        <v>8</v>
      </c>
      <c r="Q104" s="31">
        <f>MIN(Q105:Q108)</f>
        <v>45888</v>
      </c>
      <c r="R104" s="31">
        <f>MAX(R105:R108)</f>
        <v>45896</v>
      </c>
      <c r="S104" s="22"/>
      <c r="T104" s="32">
        <f t="shared" si="61"/>
        <v>1</v>
      </c>
      <c r="U104" s="32">
        <f t="shared" si="26"/>
        <v>7</v>
      </c>
      <c r="V104" s="31">
        <f>MIN(V105:V108)</f>
        <v>45888</v>
      </c>
      <c r="W104" s="31">
        <f>MAX(W105:W108)</f>
        <v>45896</v>
      </c>
      <c r="X104" s="24"/>
      <c r="Y104" s="239">
        <f>AVERAGE(Y105:Y106)</f>
        <v>1</v>
      </c>
      <c r="Z104" s="240"/>
      <c r="AA104" s="240"/>
      <c r="AB104" s="242"/>
      <c r="AC104" s="242"/>
      <c r="AD104" s="28"/>
      <c r="AE104" s="21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30"/>
      <c r="BN104" s="11"/>
    </row>
    <row r="105" spans="1:66" ht="30" customHeight="1">
      <c r="A105" s="243"/>
      <c r="B105" s="36"/>
      <c r="C105" s="37" t="s">
        <v>43</v>
      </c>
      <c r="D105" s="12"/>
      <c r="F105" s="35"/>
      <c r="G105" s="35" t="s">
        <v>375</v>
      </c>
      <c r="H105" s="35"/>
      <c r="I105" s="38"/>
      <c r="J105" s="35" t="s">
        <v>376</v>
      </c>
      <c r="K105" s="32" t="s">
        <v>377</v>
      </c>
      <c r="L105" s="39" t="s">
        <v>99</v>
      </c>
      <c r="M105" s="32" t="s">
        <v>160</v>
      </c>
      <c r="N105" s="22"/>
      <c r="O105" s="32">
        <f t="shared" si="12"/>
        <v>1</v>
      </c>
      <c r="P105" s="32">
        <f t="shared" si="55"/>
        <v>1</v>
      </c>
      <c r="Q105" s="31">
        <v>45888</v>
      </c>
      <c r="R105" s="31">
        <v>45889</v>
      </c>
      <c r="S105" s="22"/>
      <c r="T105" s="32">
        <f t="shared" si="61"/>
        <v>1</v>
      </c>
      <c r="U105" s="32">
        <f t="shared" si="26"/>
        <v>2</v>
      </c>
      <c r="V105" s="31">
        <v>45888</v>
      </c>
      <c r="W105" s="31">
        <v>45889</v>
      </c>
      <c r="X105" s="24"/>
      <c r="Y105" s="239">
        <v>1</v>
      </c>
      <c r="Z105" s="240"/>
      <c r="AA105" s="240"/>
      <c r="AB105" s="242"/>
      <c r="AC105" s="242"/>
      <c r="AD105" s="28"/>
      <c r="AE105" s="21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30"/>
      <c r="BN105" s="11"/>
    </row>
    <row r="106" spans="1:66" ht="30" customHeight="1">
      <c r="A106" s="243"/>
      <c r="B106" s="36"/>
      <c r="C106" s="37" t="s">
        <v>43</v>
      </c>
      <c r="D106" s="12"/>
      <c r="F106" s="35"/>
      <c r="G106" s="35" t="s">
        <v>378</v>
      </c>
      <c r="H106" s="35"/>
      <c r="I106" s="38"/>
      <c r="J106" s="35" t="s">
        <v>379</v>
      </c>
      <c r="K106" s="32" t="s">
        <v>380</v>
      </c>
      <c r="L106" s="39" t="s">
        <v>99</v>
      </c>
      <c r="M106" s="32" t="s">
        <v>160</v>
      </c>
      <c r="N106" s="22"/>
      <c r="O106" s="32">
        <f t="shared" si="12"/>
        <v>1</v>
      </c>
      <c r="P106" s="32">
        <f t="shared" si="55"/>
        <v>2</v>
      </c>
      <c r="Q106" s="31">
        <v>45890</v>
      </c>
      <c r="R106" s="31">
        <v>45892</v>
      </c>
      <c r="S106" s="22"/>
      <c r="T106" s="32">
        <f t="shared" si="61"/>
        <v>1</v>
      </c>
      <c r="U106" s="32">
        <f t="shared" si="26"/>
        <v>2</v>
      </c>
      <c r="V106" s="31">
        <v>45890</v>
      </c>
      <c r="W106" s="31">
        <v>45892</v>
      </c>
      <c r="X106" s="24"/>
      <c r="Y106" s="239">
        <v>1</v>
      </c>
      <c r="Z106" s="240" t="s">
        <v>381</v>
      </c>
      <c r="AA106" s="240"/>
      <c r="AB106" s="242"/>
      <c r="AC106" s="242"/>
      <c r="AD106" s="28"/>
      <c r="AE106" s="21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30"/>
      <c r="BN106" s="11"/>
    </row>
    <row r="107" spans="1:66" ht="30" customHeight="1">
      <c r="A107" s="243"/>
      <c r="B107" s="36"/>
      <c r="C107" s="37" t="s">
        <v>43</v>
      </c>
      <c r="D107" s="12"/>
      <c r="F107" s="35"/>
      <c r="G107" s="35" t="s">
        <v>382</v>
      </c>
      <c r="H107" s="35"/>
      <c r="I107" s="38"/>
      <c r="J107" s="35" t="s">
        <v>383</v>
      </c>
      <c r="K107" s="32" t="s">
        <v>384</v>
      </c>
      <c r="L107" s="39" t="s">
        <v>99</v>
      </c>
      <c r="M107" s="32" t="s">
        <v>160</v>
      </c>
      <c r="N107" s="22"/>
      <c r="O107" s="32">
        <f t="shared" si="12"/>
        <v>1</v>
      </c>
      <c r="P107" s="32">
        <f t="shared" si="55"/>
        <v>1</v>
      </c>
      <c r="Q107" s="31">
        <v>45893</v>
      </c>
      <c r="R107" s="31">
        <v>45894</v>
      </c>
      <c r="S107" s="22"/>
      <c r="T107" s="32">
        <f t="shared" si="61"/>
        <v>1</v>
      </c>
      <c r="U107" s="32">
        <f t="shared" si="26"/>
        <v>1</v>
      </c>
      <c r="V107" s="31">
        <v>45893</v>
      </c>
      <c r="W107" s="31">
        <v>45894</v>
      </c>
      <c r="X107" s="24"/>
      <c r="Y107" s="239">
        <v>1</v>
      </c>
      <c r="Z107" s="240" t="s">
        <v>385</v>
      </c>
      <c r="AA107" s="240"/>
      <c r="AB107" s="242"/>
      <c r="AC107" s="242"/>
      <c r="AD107" s="28"/>
      <c r="AE107" s="21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30"/>
      <c r="BN107" s="11"/>
    </row>
    <row r="108" spans="1:66" ht="30" customHeight="1">
      <c r="A108" s="243"/>
      <c r="B108" s="36"/>
      <c r="C108" s="37" t="s">
        <v>43</v>
      </c>
      <c r="D108" s="12"/>
      <c r="F108" s="35"/>
      <c r="G108" s="35" t="s">
        <v>386</v>
      </c>
      <c r="H108" s="35"/>
      <c r="I108" s="38"/>
      <c r="J108" s="35" t="s">
        <v>387</v>
      </c>
      <c r="K108" s="32" t="s">
        <v>388</v>
      </c>
      <c r="L108" s="39" t="s">
        <v>99</v>
      </c>
      <c r="M108" s="32" t="s">
        <v>160</v>
      </c>
      <c r="N108" s="22"/>
      <c r="O108" s="32">
        <f t="shared" si="12"/>
        <v>1</v>
      </c>
      <c r="P108" s="32">
        <f t="shared" si="55"/>
        <v>1</v>
      </c>
      <c r="Q108" s="31">
        <v>45895</v>
      </c>
      <c r="R108" s="31">
        <v>45896</v>
      </c>
      <c r="S108" s="22"/>
      <c r="T108" s="32">
        <f t="shared" si="61"/>
        <v>1</v>
      </c>
      <c r="U108" s="32">
        <f t="shared" si="26"/>
        <v>2</v>
      </c>
      <c r="V108" s="31">
        <v>45895</v>
      </c>
      <c r="W108" s="31">
        <v>45896</v>
      </c>
      <c r="X108" s="24"/>
      <c r="Y108" s="239">
        <v>1</v>
      </c>
      <c r="Z108" s="240" t="s">
        <v>389</v>
      </c>
      <c r="AA108" s="240"/>
      <c r="AB108" s="242"/>
      <c r="AC108" s="242"/>
      <c r="AD108" s="28"/>
      <c r="AE108" s="21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30"/>
      <c r="BN108" s="11"/>
    </row>
    <row r="109" spans="1:66" ht="30" customHeight="1">
      <c r="A109" s="220" t="s">
        <v>34</v>
      </c>
      <c r="B109" s="221"/>
      <c r="C109" s="222"/>
      <c r="D109" s="223"/>
      <c r="E109" s="223" t="s">
        <v>390</v>
      </c>
      <c r="F109" s="223"/>
      <c r="G109" s="223"/>
      <c r="H109" s="223"/>
      <c r="I109" s="245"/>
      <c r="J109" s="227" t="s">
        <v>391</v>
      </c>
      <c r="K109" s="244" t="s">
        <v>392</v>
      </c>
      <c r="L109" s="54"/>
      <c r="M109" s="244"/>
      <c r="N109" s="22"/>
      <c r="O109" s="32">
        <f t="shared" si="12"/>
        <v>1</v>
      </c>
      <c r="P109" s="32">
        <f t="shared" si="55"/>
        <v>5</v>
      </c>
      <c r="Q109" s="246">
        <f>MIN(Q111:Q117)</f>
        <v>45897</v>
      </c>
      <c r="R109" s="246">
        <f>MAX(R111:R117)</f>
        <v>45902</v>
      </c>
      <c r="S109" s="22"/>
      <c r="T109" s="32">
        <f t="shared" si="61"/>
        <v>1</v>
      </c>
      <c r="U109" s="32">
        <f t="shared" si="26"/>
        <v>3</v>
      </c>
      <c r="V109" s="246">
        <f>MIN(V111:V117)</f>
        <v>45897</v>
      </c>
      <c r="W109" s="246">
        <f>MAX(W111:W117)</f>
        <v>45901</v>
      </c>
      <c r="X109" s="24"/>
      <c r="Y109" s="239">
        <f>AVERAGE(Y110,Y113,Y116)</f>
        <v>1</v>
      </c>
      <c r="Z109" s="227"/>
      <c r="AA109" s="227"/>
      <c r="AB109" s="228"/>
      <c r="AC109" s="228"/>
      <c r="AD109" s="28"/>
      <c r="AE109" s="219" t="str">
        <f t="shared" ref="AE109:BM109" si="62">IFERROR(IF(AND($Q109&gt;=(EOMONTH(AE$8,-1)+1),$R109&lt;AF$8,$I109="M"),"u",""),"")</f>
        <v/>
      </c>
      <c r="AF109" s="29" t="str">
        <f t="shared" si="62"/>
        <v/>
      </c>
      <c r="AG109" s="29" t="str">
        <f t="shared" si="62"/>
        <v/>
      </c>
      <c r="AH109" s="29" t="str">
        <f t="shared" si="62"/>
        <v/>
      </c>
      <c r="AI109" s="29" t="str">
        <f t="shared" si="62"/>
        <v/>
      </c>
      <c r="AJ109" s="29" t="str">
        <f t="shared" si="62"/>
        <v/>
      </c>
      <c r="AK109" s="29" t="str">
        <f t="shared" si="62"/>
        <v/>
      </c>
      <c r="AL109" s="29" t="str">
        <f t="shared" si="62"/>
        <v/>
      </c>
      <c r="AM109" s="29" t="str">
        <f t="shared" si="62"/>
        <v/>
      </c>
      <c r="AN109" s="29" t="str">
        <f t="shared" si="62"/>
        <v/>
      </c>
      <c r="AO109" s="29" t="str">
        <f t="shared" si="62"/>
        <v/>
      </c>
      <c r="AP109" s="29" t="str">
        <f t="shared" si="62"/>
        <v/>
      </c>
      <c r="AQ109" s="29" t="str">
        <f t="shared" si="62"/>
        <v/>
      </c>
      <c r="AR109" s="29" t="str">
        <f t="shared" si="62"/>
        <v/>
      </c>
      <c r="AS109" s="29" t="str">
        <f t="shared" si="62"/>
        <v/>
      </c>
      <c r="AT109" s="29" t="str">
        <f t="shared" si="62"/>
        <v/>
      </c>
      <c r="AU109" s="29" t="str">
        <f t="shared" si="62"/>
        <v/>
      </c>
      <c r="AV109" s="29" t="str">
        <f t="shared" si="62"/>
        <v/>
      </c>
      <c r="AW109" s="29" t="str">
        <f t="shared" si="62"/>
        <v/>
      </c>
      <c r="AX109" s="29" t="str">
        <f t="shared" si="62"/>
        <v/>
      </c>
      <c r="AY109" s="29" t="str">
        <f t="shared" si="62"/>
        <v/>
      </c>
      <c r="AZ109" s="29" t="str">
        <f t="shared" si="62"/>
        <v/>
      </c>
      <c r="BA109" s="29" t="str">
        <f t="shared" si="62"/>
        <v/>
      </c>
      <c r="BB109" s="29" t="str">
        <f t="shared" si="62"/>
        <v/>
      </c>
      <c r="BC109" s="29" t="str">
        <f t="shared" si="62"/>
        <v/>
      </c>
      <c r="BD109" s="29" t="str">
        <f t="shared" si="62"/>
        <v/>
      </c>
      <c r="BE109" s="29" t="str">
        <f t="shared" si="62"/>
        <v/>
      </c>
      <c r="BF109" s="29" t="str">
        <f t="shared" si="62"/>
        <v/>
      </c>
      <c r="BG109" s="29" t="str">
        <f t="shared" si="62"/>
        <v/>
      </c>
      <c r="BH109" s="29" t="str">
        <f t="shared" si="62"/>
        <v/>
      </c>
      <c r="BI109" s="29" t="str">
        <f t="shared" si="62"/>
        <v/>
      </c>
      <c r="BJ109" s="29" t="str">
        <f t="shared" si="62"/>
        <v/>
      </c>
      <c r="BK109" s="29" t="str">
        <f t="shared" si="62"/>
        <v/>
      </c>
      <c r="BL109" s="29" t="str">
        <f t="shared" si="62"/>
        <v/>
      </c>
      <c r="BM109" s="30" t="str">
        <f t="shared" si="62"/>
        <v/>
      </c>
      <c r="BN109" s="11" t="s">
        <v>0</v>
      </c>
    </row>
    <row r="110" spans="1:66" ht="30" customHeight="1">
      <c r="A110" s="230"/>
      <c r="B110" s="231" t="s">
        <v>39</v>
      </c>
      <c r="C110" s="232"/>
      <c r="D110" s="233"/>
      <c r="E110" s="234"/>
      <c r="F110" s="234" t="s">
        <v>393</v>
      </c>
      <c r="G110" s="234"/>
      <c r="H110" s="234"/>
      <c r="I110" s="235"/>
      <c r="J110" s="240" t="s">
        <v>394</v>
      </c>
      <c r="K110" s="236" t="s">
        <v>395</v>
      </c>
      <c r="L110" s="237"/>
      <c r="M110" s="236"/>
      <c r="N110" s="22"/>
      <c r="O110" s="32">
        <f t="shared" si="12"/>
        <v>1</v>
      </c>
      <c r="P110" s="32">
        <f t="shared" si="55"/>
        <v>1</v>
      </c>
      <c r="Q110" s="238">
        <f>MIN(Q111)</f>
        <v>45897</v>
      </c>
      <c r="R110" s="238">
        <f>MAX(R111)</f>
        <v>45898</v>
      </c>
      <c r="S110" s="22"/>
      <c r="T110" s="32">
        <f t="shared" si="61"/>
        <v>1</v>
      </c>
      <c r="U110" s="32">
        <f t="shared" si="26"/>
        <v>2</v>
      </c>
      <c r="V110" s="238">
        <f>MIN(V111)</f>
        <v>45897</v>
      </c>
      <c r="W110" s="238">
        <f>MAX(W111)</f>
        <v>45898</v>
      </c>
      <c r="X110" s="24"/>
      <c r="Y110" s="239">
        <f>AVERAGE(Y111:Y112)</f>
        <v>1</v>
      </c>
      <c r="Z110" s="240"/>
      <c r="AA110" s="240"/>
      <c r="AB110" s="242"/>
      <c r="AC110" s="242"/>
      <c r="AD110" s="28"/>
      <c r="AE110" s="219" t="str">
        <f t="shared" ref="AE110:BM110" si="63">IFERROR(IF(AND($Q110&gt;=(EOMONTH(AE$8,-1)+1),$R110&lt;AF$8,$I110="M"),"u",""),"")</f>
        <v/>
      </c>
      <c r="AF110" s="29" t="str">
        <f t="shared" si="63"/>
        <v/>
      </c>
      <c r="AG110" s="29" t="str">
        <f t="shared" si="63"/>
        <v/>
      </c>
      <c r="AH110" s="29" t="str">
        <f t="shared" si="63"/>
        <v/>
      </c>
      <c r="AI110" s="29" t="str">
        <f t="shared" si="63"/>
        <v/>
      </c>
      <c r="AJ110" s="29" t="str">
        <f t="shared" si="63"/>
        <v/>
      </c>
      <c r="AK110" s="29" t="str">
        <f t="shared" si="63"/>
        <v/>
      </c>
      <c r="AL110" s="29" t="str">
        <f t="shared" si="63"/>
        <v/>
      </c>
      <c r="AM110" s="29" t="str">
        <f t="shared" si="63"/>
        <v/>
      </c>
      <c r="AN110" s="29" t="str">
        <f t="shared" si="63"/>
        <v/>
      </c>
      <c r="AO110" s="29" t="str">
        <f t="shared" si="63"/>
        <v/>
      </c>
      <c r="AP110" s="29" t="str">
        <f t="shared" si="63"/>
        <v/>
      </c>
      <c r="AQ110" s="29" t="str">
        <f t="shared" si="63"/>
        <v/>
      </c>
      <c r="AR110" s="29" t="str">
        <f t="shared" si="63"/>
        <v/>
      </c>
      <c r="AS110" s="29" t="str">
        <f t="shared" si="63"/>
        <v/>
      </c>
      <c r="AT110" s="29" t="str">
        <f t="shared" si="63"/>
        <v/>
      </c>
      <c r="AU110" s="29" t="str">
        <f t="shared" si="63"/>
        <v/>
      </c>
      <c r="AV110" s="29" t="str">
        <f t="shared" si="63"/>
        <v/>
      </c>
      <c r="AW110" s="29" t="str">
        <f t="shared" si="63"/>
        <v/>
      </c>
      <c r="AX110" s="29" t="str">
        <f t="shared" si="63"/>
        <v/>
      </c>
      <c r="AY110" s="29" t="str">
        <f t="shared" si="63"/>
        <v/>
      </c>
      <c r="AZ110" s="29" t="str">
        <f t="shared" si="63"/>
        <v/>
      </c>
      <c r="BA110" s="29" t="str">
        <f t="shared" si="63"/>
        <v/>
      </c>
      <c r="BB110" s="29" t="str">
        <f t="shared" si="63"/>
        <v/>
      </c>
      <c r="BC110" s="29" t="str">
        <f t="shared" si="63"/>
        <v/>
      </c>
      <c r="BD110" s="29" t="str">
        <f t="shared" si="63"/>
        <v/>
      </c>
      <c r="BE110" s="29" t="str">
        <f t="shared" si="63"/>
        <v/>
      </c>
      <c r="BF110" s="29" t="str">
        <f t="shared" si="63"/>
        <v/>
      </c>
      <c r="BG110" s="29" t="str">
        <f t="shared" si="63"/>
        <v/>
      </c>
      <c r="BH110" s="29" t="str">
        <f t="shared" si="63"/>
        <v/>
      </c>
      <c r="BI110" s="29" t="str">
        <f t="shared" si="63"/>
        <v/>
      </c>
      <c r="BJ110" s="29" t="str">
        <f t="shared" si="63"/>
        <v/>
      </c>
      <c r="BK110" s="29" t="str">
        <f t="shared" si="63"/>
        <v/>
      </c>
      <c r="BL110" s="29" t="str">
        <f t="shared" si="63"/>
        <v/>
      </c>
      <c r="BM110" s="30" t="str">
        <f t="shared" si="63"/>
        <v/>
      </c>
      <c r="BN110" s="11" t="s">
        <v>0</v>
      </c>
    </row>
    <row r="111" spans="1:66" ht="30" customHeight="1">
      <c r="A111" s="243"/>
      <c r="B111" s="36"/>
      <c r="C111" s="37" t="s">
        <v>43</v>
      </c>
      <c r="D111" s="12"/>
      <c r="F111" s="35"/>
      <c r="G111" s="35" t="s">
        <v>396</v>
      </c>
      <c r="H111" s="35"/>
      <c r="I111" s="38"/>
      <c r="J111" s="35"/>
      <c r="K111" s="32"/>
      <c r="L111" s="39" t="s">
        <v>99</v>
      </c>
      <c r="M111" s="32" t="s">
        <v>160</v>
      </c>
      <c r="N111" s="22"/>
      <c r="O111" s="32">
        <f t="shared" si="12"/>
        <v>1</v>
      </c>
      <c r="P111" s="32">
        <f t="shared" si="55"/>
        <v>1</v>
      </c>
      <c r="Q111" s="31">
        <v>45897</v>
      </c>
      <c r="R111" s="31">
        <v>45898</v>
      </c>
      <c r="S111" s="22"/>
      <c r="T111" s="32">
        <f t="shared" si="61"/>
        <v>1</v>
      </c>
      <c r="U111" s="32">
        <f t="shared" si="26"/>
        <v>2</v>
      </c>
      <c r="V111" s="31">
        <v>45897</v>
      </c>
      <c r="W111" s="31">
        <v>45898</v>
      </c>
      <c r="X111" s="24"/>
      <c r="Y111" s="239">
        <v>1</v>
      </c>
      <c r="Z111" s="240"/>
      <c r="AA111" s="240"/>
      <c r="AB111" s="242"/>
      <c r="AC111" s="242"/>
      <c r="AD111" s="28"/>
      <c r="AE111" s="21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30"/>
      <c r="BN111" s="11"/>
    </row>
    <row r="112" spans="1:66" ht="30" customHeight="1">
      <c r="A112" s="243"/>
      <c r="B112" s="36" t="s">
        <v>39</v>
      </c>
      <c r="C112" s="37"/>
      <c r="D112" s="12"/>
      <c r="E112" s="48"/>
      <c r="F112" s="35" t="s">
        <v>397</v>
      </c>
      <c r="G112" s="35"/>
      <c r="H112" s="35"/>
      <c r="I112" s="38"/>
      <c r="J112" s="35" t="s">
        <v>398</v>
      </c>
      <c r="K112" s="32" t="s">
        <v>399</v>
      </c>
      <c r="L112" s="39"/>
      <c r="M112" s="32"/>
      <c r="N112" s="22"/>
      <c r="O112" s="32">
        <f t="shared" si="12"/>
        <v>1</v>
      </c>
      <c r="P112" s="32">
        <f t="shared" si="55"/>
        <v>2</v>
      </c>
      <c r="Q112" s="31">
        <f>MIN(Q113:Q114)</f>
        <v>45898</v>
      </c>
      <c r="R112" s="31">
        <f>MAX(R113:R114)</f>
        <v>45900</v>
      </c>
      <c r="S112" s="22"/>
      <c r="T112" s="32">
        <f t="shared" si="61"/>
        <v>1</v>
      </c>
      <c r="U112" s="32">
        <f t="shared" ref="U112:U116" si="64">NETWORKDAYS(MIN(V112,W112),MAX(V112,W112))</f>
        <v>1</v>
      </c>
      <c r="V112" s="31">
        <f>MIN(V113:V114)</f>
        <v>45898</v>
      </c>
      <c r="W112" s="31">
        <f>MAX(W113:W114)</f>
        <v>45900</v>
      </c>
      <c r="X112" s="24"/>
      <c r="Y112" s="239">
        <f>AVERAGE(Y113:Y114)</f>
        <v>1</v>
      </c>
      <c r="Z112" s="240"/>
      <c r="AA112" s="240"/>
      <c r="AB112" s="242"/>
      <c r="AC112" s="242"/>
      <c r="AD112" s="28"/>
      <c r="AE112" s="21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30"/>
      <c r="BN112" s="11"/>
    </row>
    <row r="113" spans="1:66" ht="30" customHeight="1">
      <c r="A113" s="243"/>
      <c r="B113" s="36"/>
      <c r="C113" s="37" t="s">
        <v>43</v>
      </c>
      <c r="D113" s="12"/>
      <c r="F113" s="35"/>
      <c r="G113" s="35" t="s">
        <v>400</v>
      </c>
      <c r="H113" s="35"/>
      <c r="I113" s="38"/>
      <c r="J113" s="35" t="s">
        <v>401</v>
      </c>
      <c r="K113" s="32" t="s">
        <v>402</v>
      </c>
      <c r="L113" s="39" t="s">
        <v>403</v>
      </c>
      <c r="M113" s="32" t="s">
        <v>160</v>
      </c>
      <c r="N113" s="22"/>
      <c r="O113" s="32">
        <f t="shared" si="12"/>
        <v>0</v>
      </c>
      <c r="P113" s="32">
        <f t="shared" si="55"/>
        <v>0</v>
      </c>
      <c r="Q113" s="31">
        <v>45898</v>
      </c>
      <c r="R113" s="31">
        <v>45898</v>
      </c>
      <c r="S113" s="22"/>
      <c r="T113" s="32">
        <f t="shared" si="61"/>
        <v>1</v>
      </c>
      <c r="U113" s="32">
        <f t="shared" si="64"/>
        <v>1</v>
      </c>
      <c r="V113" s="31">
        <v>45898</v>
      </c>
      <c r="W113" s="31">
        <v>45898</v>
      </c>
      <c r="X113" s="24"/>
      <c r="Y113" s="239">
        <v>1</v>
      </c>
      <c r="Z113" s="240"/>
      <c r="AA113" s="240"/>
      <c r="AB113" s="242"/>
      <c r="AC113" s="242"/>
      <c r="AD113" s="28"/>
      <c r="AE113" s="21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30"/>
      <c r="BN113" s="11"/>
    </row>
    <row r="114" spans="1:66" ht="30" customHeight="1">
      <c r="A114" s="243"/>
      <c r="B114" s="36"/>
      <c r="C114" s="37" t="s">
        <v>43</v>
      </c>
      <c r="D114" s="12"/>
      <c r="F114" s="35"/>
      <c r="G114" s="35" t="s">
        <v>404</v>
      </c>
      <c r="H114" s="35"/>
      <c r="I114" s="38"/>
      <c r="J114" s="35" t="s">
        <v>405</v>
      </c>
      <c r="K114" s="32" t="s">
        <v>406</v>
      </c>
      <c r="L114" s="39" t="s">
        <v>403</v>
      </c>
      <c r="M114" s="32" t="s">
        <v>160</v>
      </c>
      <c r="N114" s="22"/>
      <c r="O114" s="32">
        <f t="shared" si="12"/>
        <v>1</v>
      </c>
      <c r="P114" s="32">
        <f t="shared" si="55"/>
        <v>1</v>
      </c>
      <c r="Q114" s="31">
        <v>45899</v>
      </c>
      <c r="R114" s="31">
        <v>45900</v>
      </c>
      <c r="S114" s="22"/>
      <c r="T114" s="32">
        <f t="shared" si="61"/>
        <v>0</v>
      </c>
      <c r="U114" s="32">
        <f t="shared" si="64"/>
        <v>0</v>
      </c>
      <c r="V114" s="31">
        <v>45899</v>
      </c>
      <c r="W114" s="31">
        <v>45900</v>
      </c>
      <c r="X114" s="24"/>
      <c r="Y114" s="239">
        <v>1</v>
      </c>
      <c r="Z114" s="240" t="s">
        <v>407</v>
      </c>
      <c r="AA114" s="240"/>
      <c r="AB114" s="242"/>
      <c r="AC114" s="242"/>
      <c r="AD114" s="28"/>
      <c r="AE114" s="21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30"/>
      <c r="BN114" s="11"/>
    </row>
    <row r="115" spans="1:66" ht="30" customHeight="1">
      <c r="A115" s="243"/>
      <c r="B115" s="36" t="s">
        <v>39</v>
      </c>
      <c r="C115" s="37"/>
      <c r="D115" s="12"/>
      <c r="E115" s="48"/>
      <c r="F115" s="35" t="s">
        <v>408</v>
      </c>
      <c r="G115" s="35"/>
      <c r="H115" s="35"/>
      <c r="I115" s="38"/>
      <c r="J115" s="35" t="s">
        <v>409</v>
      </c>
      <c r="K115" s="32" t="s">
        <v>410</v>
      </c>
      <c r="L115" s="39"/>
      <c r="M115" s="32"/>
      <c r="N115" s="22"/>
      <c r="O115" s="32">
        <f t="shared" si="12"/>
        <v>1</v>
      </c>
      <c r="P115" s="32">
        <f t="shared" si="55"/>
        <v>1</v>
      </c>
      <c r="Q115" s="31">
        <f>MIN(Q116:Q117)</f>
        <v>45901</v>
      </c>
      <c r="R115" s="31">
        <f>MAX(R116:R117)</f>
        <v>45902</v>
      </c>
      <c r="S115" s="22"/>
      <c r="T115" s="32">
        <f t="shared" si="61"/>
        <v>1</v>
      </c>
      <c r="U115" s="32">
        <f t="shared" si="64"/>
        <v>1</v>
      </c>
      <c r="V115" s="31">
        <f>MIN(V116:V117)</f>
        <v>45901</v>
      </c>
      <c r="W115" s="31">
        <f>MAX(W116:W117)</f>
        <v>45901</v>
      </c>
      <c r="X115" s="24"/>
      <c r="Y115" s="239">
        <f>AVERAGE(Y116:Y117)</f>
        <v>1</v>
      </c>
      <c r="Z115" s="240"/>
      <c r="AA115" s="240"/>
      <c r="AB115" s="242"/>
      <c r="AC115" s="242"/>
      <c r="AD115" s="28"/>
      <c r="AE115" s="21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30"/>
      <c r="BN115" s="11"/>
    </row>
    <row r="116" spans="1:66">
      <c r="A116" s="243"/>
      <c r="B116" s="36"/>
      <c r="C116" s="37" t="s">
        <v>43</v>
      </c>
      <c r="D116" s="12"/>
      <c r="F116" s="35"/>
      <c r="G116" s="35" t="s">
        <v>411</v>
      </c>
      <c r="H116" s="35"/>
      <c r="I116" s="38"/>
      <c r="J116" s="35" t="s">
        <v>412</v>
      </c>
      <c r="K116" s="32" t="s">
        <v>413</v>
      </c>
      <c r="L116" s="39" t="s">
        <v>403</v>
      </c>
      <c r="M116" s="32" t="s">
        <v>160</v>
      </c>
      <c r="N116" s="22"/>
      <c r="O116" s="32">
        <f t="shared" si="12"/>
        <v>0</v>
      </c>
      <c r="P116" s="32">
        <f t="shared" si="55"/>
        <v>0</v>
      </c>
      <c r="Q116" s="31">
        <v>45901</v>
      </c>
      <c r="R116" s="31">
        <v>45901</v>
      </c>
      <c r="S116" s="22"/>
      <c r="T116" s="32">
        <f t="shared" si="61"/>
        <v>1</v>
      </c>
      <c r="U116" s="32">
        <f t="shared" si="64"/>
        <v>1</v>
      </c>
      <c r="V116" s="31">
        <v>45901</v>
      </c>
      <c r="W116" s="31">
        <v>45901</v>
      </c>
      <c r="X116" s="24"/>
      <c r="Y116" s="239">
        <v>1</v>
      </c>
      <c r="Z116" s="227"/>
      <c r="AA116" s="227"/>
      <c r="AB116" s="228"/>
      <c r="AC116" s="228"/>
      <c r="AD116" s="28"/>
      <c r="AE116" s="219" t="str">
        <f t="shared" ref="AE116:BM116" si="65">IFERROR(IF(AND($Q116&gt;=(EOMONTH(AE$8,-1)+1),$R116&lt;AF$8,$I116="M"),"u",""),"")</f>
        <v/>
      </c>
      <c r="AF116" s="29" t="str">
        <f t="shared" si="65"/>
        <v/>
      </c>
      <c r="AG116" s="29" t="str">
        <f t="shared" si="65"/>
        <v/>
      </c>
      <c r="AH116" s="29" t="str">
        <f t="shared" si="65"/>
        <v/>
      </c>
      <c r="AI116" s="29" t="str">
        <f t="shared" si="65"/>
        <v/>
      </c>
      <c r="AJ116" s="29" t="str">
        <f t="shared" si="65"/>
        <v/>
      </c>
      <c r="AK116" s="29" t="str">
        <f t="shared" si="65"/>
        <v/>
      </c>
      <c r="AL116" s="29" t="str">
        <f t="shared" si="65"/>
        <v/>
      </c>
      <c r="AM116" s="29" t="str">
        <f t="shared" si="65"/>
        <v/>
      </c>
      <c r="AN116" s="29" t="str">
        <f t="shared" si="65"/>
        <v/>
      </c>
      <c r="AO116" s="29" t="str">
        <f t="shared" si="65"/>
        <v/>
      </c>
      <c r="AP116" s="29" t="str">
        <f t="shared" si="65"/>
        <v/>
      </c>
      <c r="AQ116" s="29" t="str">
        <f t="shared" si="65"/>
        <v/>
      </c>
      <c r="AR116" s="29" t="str">
        <f t="shared" si="65"/>
        <v/>
      </c>
      <c r="AS116" s="29" t="str">
        <f t="shared" si="65"/>
        <v/>
      </c>
      <c r="AT116" s="29" t="str">
        <f t="shared" si="65"/>
        <v/>
      </c>
      <c r="AU116" s="29" t="str">
        <f t="shared" si="65"/>
        <v/>
      </c>
      <c r="AV116" s="29" t="str">
        <f t="shared" si="65"/>
        <v/>
      </c>
      <c r="AW116" s="29" t="str">
        <f t="shared" si="65"/>
        <v/>
      </c>
      <c r="AX116" s="29" t="str">
        <f t="shared" si="65"/>
        <v/>
      </c>
      <c r="AY116" s="29" t="str">
        <f t="shared" si="65"/>
        <v/>
      </c>
      <c r="AZ116" s="29" t="str">
        <f t="shared" si="65"/>
        <v/>
      </c>
      <c r="BA116" s="29" t="str">
        <f t="shared" si="65"/>
        <v/>
      </c>
      <c r="BB116" s="29" t="str">
        <f t="shared" si="65"/>
        <v/>
      </c>
      <c r="BC116" s="29" t="str">
        <f t="shared" si="65"/>
        <v/>
      </c>
      <c r="BD116" s="29" t="str">
        <f t="shared" si="65"/>
        <v/>
      </c>
      <c r="BE116" s="29" t="str">
        <f t="shared" si="65"/>
        <v/>
      </c>
      <c r="BF116" s="29" t="str">
        <f t="shared" si="65"/>
        <v/>
      </c>
      <c r="BG116" s="29" t="str">
        <f t="shared" si="65"/>
        <v/>
      </c>
      <c r="BH116" s="29" t="str">
        <f t="shared" si="65"/>
        <v/>
      </c>
      <c r="BI116" s="29" t="str">
        <f t="shared" si="65"/>
        <v/>
      </c>
      <c r="BJ116" s="29" t="str">
        <f t="shared" si="65"/>
        <v/>
      </c>
      <c r="BK116" s="29" t="str">
        <f t="shared" si="65"/>
        <v/>
      </c>
      <c r="BL116" s="29" t="str">
        <f t="shared" si="65"/>
        <v/>
      </c>
      <c r="BM116" s="30" t="str">
        <f t="shared" si="65"/>
        <v/>
      </c>
      <c r="BN116" s="11" t="s">
        <v>0</v>
      </c>
    </row>
    <row r="117" spans="1:66" ht="30" customHeight="1" outlineLevel="1">
      <c r="A117" s="243"/>
      <c r="B117" s="55"/>
      <c r="C117" s="256" t="s">
        <v>43</v>
      </c>
      <c r="D117" s="56"/>
      <c r="E117" s="57"/>
      <c r="F117" s="58"/>
      <c r="G117" s="58" t="s">
        <v>414</v>
      </c>
      <c r="H117" s="58"/>
      <c r="I117" s="257"/>
      <c r="J117" s="58" t="s">
        <v>415</v>
      </c>
      <c r="K117" s="258" t="s">
        <v>416</v>
      </c>
      <c r="L117" s="59" t="s">
        <v>403</v>
      </c>
      <c r="M117" s="258" t="s">
        <v>160</v>
      </c>
      <c r="N117" s="60"/>
      <c r="O117" s="32">
        <f t="shared" si="12"/>
        <v>0</v>
      </c>
      <c r="P117" s="32">
        <f t="shared" si="55"/>
        <v>0</v>
      </c>
      <c r="Q117" s="31">
        <v>45902</v>
      </c>
      <c r="R117" s="31">
        <v>45902</v>
      </c>
      <c r="S117" s="61"/>
      <c r="T117" s="258"/>
      <c r="U117" s="258"/>
      <c r="V117" s="259"/>
      <c r="W117" s="259"/>
      <c r="X117" s="62"/>
      <c r="Y117" s="63"/>
      <c r="Z117" s="64" t="s">
        <v>417</v>
      </c>
      <c r="AA117" s="64"/>
      <c r="AB117" s="65"/>
      <c r="AC117" s="65"/>
      <c r="AD117" s="28"/>
      <c r="AE117" s="219" t="str">
        <f t="shared" ref="AE117:BM117" si="66">IFERROR(IF(AND($Q117&gt;=(EOMONTH(AE$8,-1)+1),$R117&lt;AF$8,$I117="M"),"u",""),"")</f>
        <v/>
      </c>
      <c r="AF117" s="29" t="str">
        <f t="shared" si="66"/>
        <v/>
      </c>
      <c r="AG117" s="29" t="str">
        <f t="shared" si="66"/>
        <v/>
      </c>
      <c r="AH117" s="29" t="str">
        <f t="shared" si="66"/>
        <v/>
      </c>
      <c r="AI117" s="29" t="str">
        <f t="shared" si="66"/>
        <v/>
      </c>
      <c r="AJ117" s="29" t="str">
        <f t="shared" si="66"/>
        <v/>
      </c>
      <c r="AK117" s="29" t="str">
        <f t="shared" si="66"/>
        <v/>
      </c>
      <c r="AL117" s="29" t="str">
        <f t="shared" si="66"/>
        <v/>
      </c>
      <c r="AM117" s="29" t="str">
        <f t="shared" si="66"/>
        <v/>
      </c>
      <c r="AN117" s="29" t="str">
        <f t="shared" si="66"/>
        <v/>
      </c>
      <c r="AO117" s="29" t="str">
        <f t="shared" si="66"/>
        <v/>
      </c>
      <c r="AP117" s="29" t="str">
        <f t="shared" si="66"/>
        <v/>
      </c>
      <c r="AQ117" s="29" t="str">
        <f t="shared" si="66"/>
        <v/>
      </c>
      <c r="AR117" s="29" t="str">
        <f t="shared" si="66"/>
        <v/>
      </c>
      <c r="AS117" s="29" t="str">
        <f t="shared" si="66"/>
        <v/>
      </c>
      <c r="AT117" s="29" t="str">
        <f t="shared" si="66"/>
        <v/>
      </c>
      <c r="AU117" s="29" t="str">
        <f t="shared" si="66"/>
        <v/>
      </c>
      <c r="AV117" s="29" t="str">
        <f t="shared" si="66"/>
        <v/>
      </c>
      <c r="AW117" s="29" t="str">
        <f t="shared" si="66"/>
        <v/>
      </c>
      <c r="AX117" s="29" t="str">
        <f t="shared" si="66"/>
        <v/>
      </c>
      <c r="AY117" s="29" t="str">
        <f t="shared" si="66"/>
        <v/>
      </c>
      <c r="AZ117" s="29" t="str">
        <f t="shared" si="66"/>
        <v/>
      </c>
      <c r="BA117" s="29" t="str">
        <f t="shared" si="66"/>
        <v/>
      </c>
      <c r="BB117" s="29" t="str">
        <f t="shared" si="66"/>
        <v/>
      </c>
      <c r="BC117" s="29" t="str">
        <f t="shared" si="66"/>
        <v/>
      </c>
      <c r="BD117" s="29" t="str">
        <f t="shared" si="66"/>
        <v/>
      </c>
      <c r="BE117" s="29" t="str">
        <f t="shared" si="66"/>
        <v/>
      </c>
      <c r="BF117" s="29" t="str">
        <f t="shared" si="66"/>
        <v/>
      </c>
      <c r="BG117" s="29" t="str">
        <f t="shared" si="66"/>
        <v/>
      </c>
      <c r="BH117" s="29" t="str">
        <f t="shared" si="66"/>
        <v/>
      </c>
      <c r="BI117" s="29" t="str">
        <f t="shared" si="66"/>
        <v/>
      </c>
      <c r="BJ117" s="29" t="str">
        <f t="shared" si="66"/>
        <v/>
      </c>
      <c r="BK117" s="29" t="str">
        <f t="shared" si="66"/>
        <v/>
      </c>
      <c r="BL117" s="29" t="str">
        <f t="shared" si="66"/>
        <v/>
      </c>
      <c r="BM117" s="30" t="str">
        <f t="shared" si="66"/>
        <v/>
      </c>
      <c r="BN117" s="11" t="s">
        <v>0</v>
      </c>
    </row>
    <row r="118" spans="1:66" ht="30" customHeight="1">
      <c r="A118" s="243"/>
      <c r="B118" s="36"/>
      <c r="C118" s="37"/>
      <c r="D118" s="12"/>
      <c r="F118" s="35"/>
      <c r="G118" s="35"/>
      <c r="H118" s="35"/>
      <c r="I118" s="38"/>
      <c r="J118" s="35"/>
      <c r="K118" s="32"/>
      <c r="L118" s="39"/>
      <c r="M118" s="32"/>
      <c r="N118" s="22"/>
      <c r="O118" s="32"/>
      <c r="P118" s="32"/>
      <c r="Q118" s="31"/>
      <c r="R118" s="31"/>
      <c r="S118" s="22"/>
      <c r="T118" s="32"/>
      <c r="U118" s="32"/>
      <c r="V118" s="31"/>
      <c r="W118" s="31"/>
      <c r="X118" s="24"/>
      <c r="Y118" s="239"/>
      <c r="Z118" s="227"/>
      <c r="AA118" s="227"/>
      <c r="AB118" s="228"/>
      <c r="AC118" s="228"/>
      <c r="AD118" s="28"/>
      <c r="AE118" s="219" t="str">
        <f t="shared" ref="AE118" si="67">IFERROR(IF(AND($Q118&gt;=(EOMONTH(AE$8,-1)+1),$R118&lt;AF$8,$I118="M"),"u",""),"")</f>
        <v/>
      </c>
      <c r="AF118" s="29" t="str">
        <f t="shared" ref="AF118" si="68">IFERROR(IF(AND($Q118&gt;=(EOMONTH(AF$8,-1)+1),$R118&lt;AG$8,$I118="M"),"u",""),"")</f>
        <v/>
      </c>
      <c r="AG118" s="29" t="str">
        <f t="shared" ref="AG118" si="69">IFERROR(IF(AND($Q118&gt;=(EOMONTH(AG$8,-1)+1),$R118&lt;AH$8,$I118="M"),"u",""),"")</f>
        <v/>
      </c>
      <c r="AH118" s="29" t="str">
        <f t="shared" ref="AH118" si="70">IFERROR(IF(AND($Q118&gt;=(EOMONTH(AH$8,-1)+1),$R118&lt;AI$8,$I118="M"),"u",""),"")</f>
        <v/>
      </c>
      <c r="AI118" s="29" t="str">
        <f t="shared" ref="AI118" si="71">IFERROR(IF(AND($Q118&gt;=(EOMONTH(AI$8,-1)+1),$R118&lt;AJ$8,$I118="M"),"u",""),"")</f>
        <v/>
      </c>
      <c r="AJ118" s="29" t="str">
        <f t="shared" ref="AJ118" si="72">IFERROR(IF(AND($Q118&gt;=(EOMONTH(AJ$8,-1)+1),$R118&lt;AK$8,$I118="M"),"u",""),"")</f>
        <v/>
      </c>
      <c r="AK118" s="29" t="str">
        <f t="shared" ref="AK118" si="73">IFERROR(IF(AND($Q118&gt;=(EOMONTH(AK$8,-1)+1),$R118&lt;AL$8,$I118="M"),"u",""),"")</f>
        <v/>
      </c>
      <c r="AL118" s="29" t="str">
        <f t="shared" ref="AL118" si="74">IFERROR(IF(AND($Q118&gt;=(EOMONTH(AL$8,-1)+1),$R118&lt;AM$8,$I118="M"),"u",""),"")</f>
        <v/>
      </c>
      <c r="AM118" s="29" t="str">
        <f t="shared" ref="AM118" si="75">IFERROR(IF(AND($Q118&gt;=(EOMONTH(AM$8,-1)+1),$R118&lt;AN$8,$I118="M"),"u",""),"")</f>
        <v/>
      </c>
      <c r="AN118" s="29" t="str">
        <f t="shared" ref="AN118" si="76">IFERROR(IF(AND($Q118&gt;=(EOMONTH(AN$8,-1)+1),$R118&lt;AO$8,$I118="M"),"u",""),"")</f>
        <v/>
      </c>
      <c r="AO118" s="29" t="str">
        <f t="shared" ref="AO118" si="77">IFERROR(IF(AND($Q118&gt;=(EOMONTH(AO$8,-1)+1),$R118&lt;AP$8,$I118="M"),"u",""),"")</f>
        <v/>
      </c>
      <c r="AP118" s="29" t="str">
        <f t="shared" ref="AP118" si="78">IFERROR(IF(AND($Q118&gt;=(EOMONTH(AP$8,-1)+1),$R118&lt;AQ$8,$I118="M"),"u",""),"")</f>
        <v/>
      </c>
      <c r="AQ118" s="29" t="str">
        <f t="shared" ref="AQ118" si="79">IFERROR(IF(AND($Q118&gt;=(EOMONTH(AQ$8,-1)+1),$R118&lt;AR$8,$I118="M"),"u",""),"")</f>
        <v/>
      </c>
      <c r="AR118" s="29" t="str">
        <f t="shared" ref="AR118" si="80">IFERROR(IF(AND($Q118&gt;=(EOMONTH(AR$8,-1)+1),$R118&lt;AS$8,$I118="M"),"u",""),"")</f>
        <v/>
      </c>
      <c r="AS118" s="29" t="str">
        <f t="shared" ref="AS118" si="81">IFERROR(IF(AND($Q118&gt;=(EOMONTH(AS$8,-1)+1),$R118&lt;AT$8,$I118="M"),"u",""),"")</f>
        <v/>
      </c>
      <c r="AT118" s="29" t="str">
        <f t="shared" ref="AT118" si="82">IFERROR(IF(AND($Q118&gt;=(EOMONTH(AT$8,-1)+1),$R118&lt;AU$8,$I118="M"),"u",""),"")</f>
        <v/>
      </c>
      <c r="AU118" s="29" t="str">
        <f t="shared" ref="AU118" si="83">IFERROR(IF(AND($Q118&gt;=(EOMONTH(AU$8,-1)+1),$R118&lt;AV$8,$I118="M"),"u",""),"")</f>
        <v/>
      </c>
      <c r="AV118" s="29" t="str">
        <f t="shared" ref="AV118" si="84">IFERROR(IF(AND($Q118&gt;=(EOMONTH(AV$8,-1)+1),$R118&lt;AW$8,$I118="M"),"u",""),"")</f>
        <v/>
      </c>
      <c r="AW118" s="29" t="str">
        <f t="shared" ref="AW118" si="85">IFERROR(IF(AND($Q118&gt;=(EOMONTH(AW$8,-1)+1),$R118&lt;AX$8,$I118="M"),"u",""),"")</f>
        <v/>
      </c>
      <c r="AX118" s="29" t="str">
        <f t="shared" ref="AX118" si="86">IFERROR(IF(AND($Q118&gt;=(EOMONTH(AX$8,-1)+1),$R118&lt;AY$8,$I118="M"),"u",""),"")</f>
        <v/>
      </c>
      <c r="AY118" s="29" t="str">
        <f t="shared" ref="AY118" si="87">IFERROR(IF(AND($Q118&gt;=(EOMONTH(AY$8,-1)+1),$R118&lt;AZ$8,$I118="M"),"u",""),"")</f>
        <v/>
      </c>
      <c r="AZ118" s="29" t="str">
        <f t="shared" ref="AZ118" si="88">IFERROR(IF(AND($Q118&gt;=(EOMONTH(AZ$8,-1)+1),$R118&lt;BA$8,$I118="M"),"u",""),"")</f>
        <v/>
      </c>
      <c r="BA118" s="29" t="str">
        <f t="shared" ref="BA118" si="89">IFERROR(IF(AND($Q118&gt;=(EOMONTH(BA$8,-1)+1),$R118&lt;BB$8,$I118="M"),"u",""),"")</f>
        <v/>
      </c>
      <c r="BB118" s="29" t="str">
        <f t="shared" ref="BB118" si="90">IFERROR(IF(AND($Q118&gt;=(EOMONTH(BB$8,-1)+1),$R118&lt;BC$8,$I118="M"),"u",""),"")</f>
        <v/>
      </c>
      <c r="BC118" s="29" t="str">
        <f t="shared" ref="BC118" si="91">IFERROR(IF(AND($Q118&gt;=(EOMONTH(BC$8,-1)+1),$R118&lt;BD$8,$I118="M"),"u",""),"")</f>
        <v/>
      </c>
      <c r="BD118" s="29" t="str">
        <f t="shared" ref="BD118" si="92">IFERROR(IF(AND($Q118&gt;=(EOMONTH(BD$8,-1)+1),$R118&lt;BE$8,$I118="M"),"u",""),"")</f>
        <v/>
      </c>
      <c r="BE118" s="29" t="str">
        <f t="shared" ref="BE118" si="93">IFERROR(IF(AND($Q118&gt;=(EOMONTH(BE$8,-1)+1),$R118&lt;BF$8,$I118="M"),"u",""),"")</f>
        <v/>
      </c>
      <c r="BF118" s="29" t="str">
        <f t="shared" ref="BF118" si="94">IFERROR(IF(AND($Q118&gt;=(EOMONTH(BF$8,-1)+1),$R118&lt;BG$8,$I118="M"),"u",""),"")</f>
        <v/>
      </c>
      <c r="BG118" s="29" t="str">
        <f t="shared" ref="BG118" si="95">IFERROR(IF(AND($Q118&gt;=(EOMONTH(BG$8,-1)+1),$R118&lt;BH$8,$I118="M"),"u",""),"")</f>
        <v/>
      </c>
      <c r="BH118" s="29" t="str">
        <f t="shared" ref="BH118" si="96">IFERROR(IF(AND($Q118&gt;=(EOMONTH(BH$8,-1)+1),$R118&lt;BI$8,$I118="M"),"u",""),"")</f>
        <v/>
      </c>
      <c r="BI118" s="29" t="str">
        <f t="shared" ref="BI118" si="97">IFERROR(IF(AND($Q118&gt;=(EOMONTH(BI$8,-1)+1),$R118&lt;BJ$8,$I118="M"),"u",""),"")</f>
        <v/>
      </c>
      <c r="BJ118" s="29" t="str">
        <f t="shared" ref="BJ118" si="98">IFERROR(IF(AND($Q118&gt;=(EOMONTH(BJ$8,-1)+1),$R118&lt;BK$8,$I118="M"),"u",""),"")</f>
        <v/>
      </c>
      <c r="BK118" s="29" t="str">
        <f t="shared" ref="BK118" si="99">IFERROR(IF(AND($Q118&gt;=(EOMONTH(BK$8,-1)+1),$R118&lt;BL$8,$I118="M"),"u",""),"")</f>
        <v/>
      </c>
      <c r="BL118" s="29" t="str">
        <f t="shared" ref="BL118" si="100">IFERROR(IF(AND($Q118&gt;=(EOMONTH(BL$8,-1)+1),$R118&lt;BM$8,$I118="M"),"u",""),"")</f>
        <v/>
      </c>
      <c r="BM118" s="30" t="str">
        <f t="shared" ref="BM118" si="101">IFERROR(IF(AND($Q118&gt;=(EOMONTH(BM$8,-1)+1),$R118&lt;BN$8,$I118="M"),"u",""),"")</f>
        <v/>
      </c>
      <c r="BN118" s="11" t="s">
        <v>0</v>
      </c>
    </row>
    <row r="119" spans="1:66" ht="20.25" customHeight="1">
      <c r="A119" s="66" t="s">
        <v>0</v>
      </c>
      <c r="B119" s="2"/>
      <c r="C119" s="3"/>
      <c r="D119" s="12" t="s">
        <v>418</v>
      </c>
      <c r="E119" s="35"/>
      <c r="F119" s="28"/>
      <c r="G119" s="28"/>
      <c r="H119" s="12"/>
      <c r="I119" s="70"/>
      <c r="J119" s="5"/>
      <c r="K119" s="71"/>
      <c r="L119" s="71"/>
      <c r="M119" s="71"/>
      <c r="N119" s="71"/>
      <c r="O119" s="71"/>
      <c r="P119" s="71"/>
      <c r="Q119" s="12" t="s">
        <v>419</v>
      </c>
      <c r="R119" s="12"/>
      <c r="S119" s="71"/>
      <c r="T119" s="71"/>
      <c r="U119" s="71"/>
      <c r="V119" s="71"/>
      <c r="W119" s="71"/>
      <c r="X119" s="72"/>
      <c r="Y119" s="73"/>
      <c r="Z119" s="73"/>
      <c r="AA119" s="73"/>
      <c r="AB119" s="73"/>
      <c r="AC119" s="73"/>
      <c r="AD119" s="28"/>
      <c r="AE119" s="71"/>
      <c r="AF119" s="71"/>
      <c r="AG119" s="71"/>
      <c r="AH119" s="71"/>
      <c r="AI119" s="71"/>
      <c r="AJ119" s="71"/>
      <c r="AK119" s="71"/>
      <c r="AL119" s="71"/>
      <c r="AM119" s="71"/>
      <c r="AN119" s="71"/>
      <c r="AO119" s="71"/>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row>
    <row r="120" spans="1:66" ht="20.25" customHeight="1">
      <c r="A120" s="66"/>
      <c r="B120" s="2"/>
      <c r="C120" s="3"/>
      <c r="D120" s="35" t="s">
        <v>420</v>
      </c>
      <c r="E120" s="211" t="s">
        <v>421</v>
      </c>
      <c r="F120" s="260"/>
      <c r="G120" s="260"/>
      <c r="H120" s="28"/>
      <c r="I120" s="70"/>
      <c r="J120" s="5"/>
      <c r="K120" s="71"/>
      <c r="L120" s="71"/>
      <c r="M120" s="71"/>
      <c r="N120" s="71"/>
      <c r="O120" s="71"/>
      <c r="P120" s="71"/>
      <c r="Q120" s="261"/>
      <c r="R120" s="35" t="s">
        <v>422</v>
      </c>
      <c r="S120" s="71"/>
      <c r="T120" s="71"/>
      <c r="U120" s="71"/>
      <c r="V120" s="71"/>
      <c r="W120" s="71"/>
      <c r="X120" s="72"/>
      <c r="Y120" s="73"/>
      <c r="Z120" s="73"/>
      <c r="AA120" s="73"/>
      <c r="AB120" s="73"/>
      <c r="AC120" s="73"/>
      <c r="AD120" s="28"/>
      <c r="AE120" s="71"/>
      <c r="AF120" s="71"/>
      <c r="AG120" s="71"/>
      <c r="AH120" s="71"/>
      <c r="AI120" s="71"/>
      <c r="AJ120" s="71"/>
      <c r="AK120" s="71"/>
      <c r="AL120" s="71"/>
      <c r="AM120" s="71"/>
      <c r="AN120" s="71"/>
      <c r="AO120" s="71"/>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row>
    <row r="121" spans="1:66" ht="20.25" customHeight="1">
      <c r="A121" s="1"/>
      <c r="B121" s="2"/>
      <c r="C121" s="3"/>
      <c r="D121" s="35" t="s">
        <v>34</v>
      </c>
      <c r="E121" s="262" t="s">
        <v>423</v>
      </c>
      <c r="F121" s="263"/>
      <c r="G121" s="263"/>
      <c r="H121" s="51" t="s">
        <v>424</v>
      </c>
      <c r="I121" s="70"/>
      <c r="J121" s="5"/>
      <c r="K121" s="71"/>
      <c r="L121" s="71"/>
      <c r="M121" s="71"/>
      <c r="N121" s="71"/>
      <c r="O121" s="71"/>
      <c r="P121" s="71"/>
      <c r="Q121" s="264"/>
      <c r="R121" s="35" t="s">
        <v>425</v>
      </c>
      <c r="S121" s="71"/>
      <c r="T121" s="71"/>
      <c r="U121" s="71"/>
      <c r="V121" s="71"/>
      <c r="W121" s="71"/>
      <c r="X121" s="72"/>
      <c r="Y121" s="73"/>
      <c r="Z121" s="73"/>
      <c r="AA121" s="73"/>
      <c r="AB121" s="73"/>
      <c r="AC121" s="73"/>
      <c r="AD121" s="28"/>
      <c r="AE121" s="71"/>
      <c r="AF121" s="71"/>
      <c r="AG121" s="71"/>
      <c r="AH121" s="71"/>
      <c r="AI121" s="71"/>
      <c r="AJ121" s="71"/>
      <c r="AK121" s="71"/>
      <c r="AL121" s="71"/>
      <c r="AM121" s="71"/>
      <c r="AN121" s="71"/>
      <c r="AO121" s="71"/>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row>
    <row r="122" spans="1:66" ht="20.25" customHeight="1">
      <c r="A122" s="1"/>
      <c r="B122" s="2"/>
      <c r="C122" s="3"/>
      <c r="D122" s="35" t="s">
        <v>39</v>
      </c>
      <c r="E122" s="234" t="s">
        <v>426</v>
      </c>
      <c r="F122" s="265"/>
      <c r="G122" s="265"/>
      <c r="H122" s="51" t="s">
        <v>427</v>
      </c>
      <c r="I122" s="70"/>
      <c r="J122" s="5"/>
      <c r="K122" s="71"/>
      <c r="L122" s="71"/>
      <c r="M122" s="71"/>
      <c r="N122" s="71"/>
      <c r="O122" s="71"/>
      <c r="P122" s="71"/>
      <c r="Q122" s="266"/>
      <c r="R122" s="35" t="s">
        <v>428</v>
      </c>
      <c r="S122" s="71"/>
      <c r="T122" s="71"/>
      <c r="U122" s="71"/>
      <c r="V122" s="71"/>
      <c r="W122" s="71"/>
      <c r="X122" s="72"/>
      <c r="Y122" s="73"/>
      <c r="Z122" s="73"/>
      <c r="AA122" s="73"/>
      <c r="AB122" s="73"/>
      <c r="AC122" s="73"/>
      <c r="AD122" s="28"/>
      <c r="AE122" s="71"/>
      <c r="AF122" s="71"/>
      <c r="AG122" s="71"/>
      <c r="AH122" s="71"/>
      <c r="AI122" s="71"/>
      <c r="AJ122" s="71"/>
      <c r="AK122" s="71"/>
      <c r="AL122" s="71"/>
      <c r="AM122" s="71"/>
      <c r="AN122" s="71"/>
      <c r="AO122" s="71"/>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row>
    <row r="123" spans="1:66" ht="20.25" customHeight="1">
      <c r="A123" s="1"/>
      <c r="B123" s="2"/>
      <c r="C123" s="3"/>
      <c r="D123" s="35" t="s">
        <v>43</v>
      </c>
      <c r="E123" s="35" t="s">
        <v>429</v>
      </c>
      <c r="F123" s="28"/>
      <c r="G123" s="28"/>
      <c r="H123" s="51" t="s">
        <v>430</v>
      </c>
      <c r="I123" s="70"/>
      <c r="J123" s="73"/>
      <c r="K123" s="71"/>
      <c r="L123" s="71"/>
      <c r="M123" s="71"/>
      <c r="N123" s="71"/>
      <c r="O123" s="71"/>
      <c r="P123" s="71"/>
      <c r="Q123" s="71"/>
      <c r="R123" s="71"/>
      <c r="S123" s="71"/>
      <c r="T123" s="71"/>
      <c r="U123" s="71"/>
      <c r="V123" s="71"/>
      <c r="W123" s="71"/>
      <c r="X123" s="72"/>
      <c r="Y123" s="73"/>
      <c r="Z123" s="73"/>
      <c r="AA123" s="73"/>
      <c r="AB123" s="73"/>
      <c r="AC123" s="73"/>
      <c r="AD123" s="28"/>
      <c r="AE123" s="71"/>
      <c r="AF123" s="71"/>
      <c r="AG123" s="71"/>
      <c r="AH123" s="71"/>
      <c r="AI123" s="71"/>
      <c r="AJ123" s="71"/>
      <c r="AK123" s="71"/>
      <c r="AL123" s="71"/>
      <c r="AM123" s="71"/>
      <c r="AN123" s="71"/>
      <c r="AO123" s="71"/>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28"/>
    </row>
    <row r="124" spans="1:66" ht="15" customHeight="1">
      <c r="A124" s="1"/>
    </row>
    <row r="125" spans="1:66" ht="15" customHeight="1">
      <c r="A125" s="1"/>
    </row>
  </sheetData>
  <mergeCells count="3">
    <mergeCell ref="D6:G6"/>
    <mergeCell ref="A8:C8"/>
    <mergeCell ref="D8:H8"/>
  </mergeCells>
  <conditionalFormatting sqref="U65">
    <cfRule type="expression" dxfId="386" priority="270">
      <formula>NOT(ISBLANK($A66))</formula>
    </cfRule>
  </conditionalFormatting>
  <conditionalFormatting sqref="U65">
    <cfRule type="expression" dxfId="385" priority="271">
      <formula>NOT(ISBLANK($B66))</formula>
    </cfRule>
  </conditionalFormatting>
  <conditionalFormatting sqref="U65">
    <cfRule type="expression" dxfId="384" priority="272">
      <formula>NOT(ISBLANK($C66))</formula>
    </cfRule>
  </conditionalFormatting>
  <conditionalFormatting sqref="Q10:R11 V10:W11 Q17:R17 Q21:R21 Q25:R26 Q29:R29 Q31:R31 N32:N33 Q34:R35 Q38:R38 Q42:R42 Q47:R48 Q54:R54 Q59:R59 Q64:R64 Q72:R72 Q77:R77 Q81:R81 Q87:R88 Q91:R91 Q94:R94 Q97:R98 Q101:R101 Q104:R104 Q109:R110 Q112:R112 Q115:R115 V17:W17 O46 A9:M116 A117 Y9:AC116 A118:M118 Y118:AC118">
    <cfRule type="expression" dxfId="383" priority="273">
      <formula>NOT(ISBLANK($A9))</formula>
    </cfRule>
  </conditionalFormatting>
  <conditionalFormatting sqref="Q10:R11 V10:W11 Q17:R17 Q21:R21 Q25:R26 Q29:R29 Q31:R31 N32:N33 Q34:R35 Q38:R38 Q42:R42 Q47:R48 Q54:R54 Q59:R59 Q64:R64 Q72:R72 Q77:R77 Q81:R81 Q87:R88 Q91:R91 Q94:R94 Q97:R98 Q101:R101 Q104:R104 Q109:R110 Q112:R112 Q115:R115 V17:W17 O46 Y9:AC118 A9:M118">
    <cfRule type="expression" dxfId="382" priority="274">
      <formula>NOT(ISBLANK($B9))</formula>
    </cfRule>
  </conditionalFormatting>
  <conditionalFormatting sqref="Q10:R11 V10:W11 Q17:R17 Q21:R21 Q25:R26 Q29:R29 Q31:R31 N32:N33 Q34:R35 Q38:R38 Q42:R42 Q47:R48 Q54:R54 Q59:R59 Q64:R64 Q72:R72 Q77:R77 Q81:R81 Q87:R88 Q91:R91 Q94:R94 Q97:R98 Q101:R101 Q104:R104 Q109:R110 Q112:R112 Q115:R115 V17:W17 O46 Y9:AC118 A9:M118">
    <cfRule type="expression" dxfId="381" priority="275">
      <formula>NOT(ISBLANK($C9))</formula>
    </cfRule>
  </conditionalFormatting>
  <conditionalFormatting sqref="P10:P15 O10:O109 T16:T118">
    <cfRule type="expression" dxfId="380" priority="276">
      <formula>_xludf.ISFORMULA(O10)</formula>
    </cfRule>
  </conditionalFormatting>
  <conditionalFormatting sqref="O23:O24">
    <cfRule type="expression" dxfId="379" priority="277">
      <formula>_xludf.ISFORMULA(O23)</formula>
    </cfRule>
  </conditionalFormatting>
  <conditionalFormatting sqref="O9:R9 T9:W9 O86:R86 O70:R70 O46:R46">
    <cfRule type="expression" dxfId="378" priority="278">
      <formula>_xludf.ISFORMULA(O9)</formula>
    </cfRule>
  </conditionalFormatting>
  <conditionalFormatting sqref="F10 O9:R45 O46:S46 O47:R118 T9:W118">
    <cfRule type="containsBlanks" dxfId="377" priority="279">
      <formula>LEN(TRIM(O9))=0</formula>
    </cfRule>
  </conditionalFormatting>
  <conditionalFormatting sqref="F10 O9:R45 O46:S46 O47:R118 T9:W118">
    <cfRule type="expression" dxfId="376" priority="280">
      <formula>NOT(_xludf.ISFORMULA(O9))</formula>
    </cfRule>
  </conditionalFormatting>
  <conditionalFormatting sqref="O86:R86 Q109:R109 O70:R70 Q46:V46 T70:W70">
    <cfRule type="expression" dxfId="375" priority="281">
      <formula>_xludf.ISFORMULA(S46)</formula>
    </cfRule>
  </conditionalFormatting>
  <conditionalFormatting sqref="F10 O16:O22 T16:T37 P10:R45 Q46:R46 T61:U116 U61:W69 T38:U53 O25:O53 O54:R117 U10:W53 P47:R53 U48:U116 V70:W72 T77:W77 T81:W81 U71:W117">
    <cfRule type="expression" dxfId="374" priority="282">
      <formula>_xludf.ISFORMULA(F3)</formula>
    </cfRule>
  </conditionalFormatting>
  <conditionalFormatting sqref="T10:U15">
    <cfRule type="expression" dxfId="373" priority="283">
      <formula>_xludf.ISFORMULA(T10)</formula>
    </cfRule>
  </conditionalFormatting>
  <conditionalFormatting sqref="AE7:BM8">
    <cfRule type="expression" dxfId="372" priority="286">
      <formula>AND(AD$8&lt;TODAY(),AE$8&gt;=TODAY())</formula>
    </cfRule>
  </conditionalFormatting>
  <conditionalFormatting sqref="AE9:BM118">
    <cfRule type="expression" dxfId="371" priority="287">
      <formula>AND(AD$8&lt;TODAY(),AE$8&gt;=TODAY())</formula>
    </cfRule>
  </conditionalFormatting>
  <conditionalFormatting sqref="AE9:BM118">
    <cfRule type="expression" dxfId="370" priority="288">
      <formula>AND(AE$8&gt;=$Q9,AE$8&lt;=EOMONTH($R9,0)+1)</formula>
    </cfRule>
  </conditionalFormatting>
  <conditionalFormatting sqref="AE9:BM118">
    <cfRule type="expression" dxfId="369" priority="289">
      <formula>AND(AE$8&gt;=$V9,AE$8&lt;=EOMONTH($W9,0)+1,$P$5="Actual")</formula>
    </cfRule>
  </conditionalFormatting>
  <conditionalFormatting sqref="V26:W26">
    <cfRule type="expression" dxfId="368" priority="267">
      <formula>NOT(ISBLANK($A26))</formula>
    </cfRule>
  </conditionalFormatting>
  <conditionalFormatting sqref="V26:W26">
    <cfRule type="expression" dxfId="367" priority="268">
      <formula>NOT(ISBLANK($B26))</formula>
    </cfRule>
  </conditionalFormatting>
  <conditionalFormatting sqref="V26:W26">
    <cfRule type="expression" dxfId="366" priority="269">
      <formula>NOT(ISBLANK($C26))</formula>
    </cfRule>
  </conditionalFormatting>
  <conditionalFormatting sqref="V26">
    <cfRule type="expression" dxfId="365" priority="264">
      <formula>NOT(ISBLANK($A26))</formula>
    </cfRule>
  </conditionalFormatting>
  <conditionalFormatting sqref="V26">
    <cfRule type="expression" dxfId="364" priority="265">
      <formula>NOT(ISBLANK($B26))</formula>
    </cfRule>
  </conditionalFormatting>
  <conditionalFormatting sqref="V26">
    <cfRule type="expression" dxfId="363" priority="266">
      <formula>NOT(ISBLANK($C26))</formula>
    </cfRule>
  </conditionalFormatting>
  <conditionalFormatting sqref="W26">
    <cfRule type="expression" dxfId="362" priority="261">
      <formula>NOT(ISBLANK($A26))</formula>
    </cfRule>
  </conditionalFormatting>
  <conditionalFormatting sqref="W26">
    <cfRule type="expression" dxfId="361" priority="262">
      <formula>NOT(ISBLANK($B26))</formula>
    </cfRule>
  </conditionalFormatting>
  <conditionalFormatting sqref="W26">
    <cfRule type="expression" dxfId="360" priority="263">
      <formula>NOT(ISBLANK($C26))</formula>
    </cfRule>
  </conditionalFormatting>
  <conditionalFormatting sqref="W17">
    <cfRule type="expression" dxfId="359" priority="258">
      <formula>NOT(ISBLANK($A17))</formula>
    </cfRule>
  </conditionalFormatting>
  <conditionalFormatting sqref="W17">
    <cfRule type="expression" dxfId="358" priority="259">
      <formula>NOT(ISBLANK($B17))</formula>
    </cfRule>
  </conditionalFormatting>
  <conditionalFormatting sqref="W17">
    <cfRule type="expression" dxfId="357" priority="260">
      <formula>NOT(ISBLANK($C17))</formula>
    </cfRule>
  </conditionalFormatting>
  <conditionalFormatting sqref="W17">
    <cfRule type="expression" dxfId="356" priority="255">
      <formula>NOT(ISBLANK($A17))</formula>
    </cfRule>
  </conditionalFormatting>
  <conditionalFormatting sqref="W17">
    <cfRule type="expression" dxfId="355" priority="256">
      <formula>NOT(ISBLANK($B17))</formula>
    </cfRule>
  </conditionalFormatting>
  <conditionalFormatting sqref="W17">
    <cfRule type="expression" dxfId="354" priority="257">
      <formula>NOT(ISBLANK($C17))</formula>
    </cfRule>
  </conditionalFormatting>
  <conditionalFormatting sqref="V17">
    <cfRule type="expression" dxfId="353" priority="252">
      <formula>NOT(ISBLANK($A17))</formula>
    </cfRule>
  </conditionalFormatting>
  <conditionalFormatting sqref="V17">
    <cfRule type="expression" dxfId="352" priority="253">
      <formula>NOT(ISBLANK($B17))</formula>
    </cfRule>
  </conditionalFormatting>
  <conditionalFormatting sqref="V17">
    <cfRule type="expression" dxfId="351" priority="254">
      <formula>NOT(ISBLANK($C17))</formula>
    </cfRule>
  </conditionalFormatting>
  <conditionalFormatting sqref="V17">
    <cfRule type="expression" dxfId="350" priority="249">
      <formula>NOT(ISBLANK($A17))</formula>
    </cfRule>
  </conditionalFormatting>
  <conditionalFormatting sqref="V17">
    <cfRule type="expression" dxfId="349" priority="250">
      <formula>NOT(ISBLANK($B17))</formula>
    </cfRule>
  </conditionalFormatting>
  <conditionalFormatting sqref="V17">
    <cfRule type="expression" dxfId="348" priority="251">
      <formula>NOT(ISBLANK($C17))</formula>
    </cfRule>
  </conditionalFormatting>
  <conditionalFormatting sqref="V35:W35">
    <cfRule type="expression" dxfId="347" priority="246">
      <formula>NOT(ISBLANK($A35))</formula>
    </cfRule>
  </conditionalFormatting>
  <conditionalFormatting sqref="V35:W35">
    <cfRule type="expression" dxfId="346" priority="247">
      <formula>NOT(ISBLANK($B35))</formula>
    </cfRule>
  </conditionalFormatting>
  <conditionalFormatting sqref="V35:W35">
    <cfRule type="expression" dxfId="345" priority="248">
      <formula>NOT(ISBLANK($C35))</formula>
    </cfRule>
  </conditionalFormatting>
  <conditionalFormatting sqref="V35">
    <cfRule type="expression" dxfId="344" priority="243">
      <formula>NOT(ISBLANK($A35))</formula>
    </cfRule>
  </conditionalFormatting>
  <conditionalFormatting sqref="V35">
    <cfRule type="expression" dxfId="343" priority="244">
      <formula>NOT(ISBLANK($B35))</formula>
    </cfRule>
  </conditionalFormatting>
  <conditionalFormatting sqref="V35">
    <cfRule type="expression" dxfId="342" priority="245">
      <formula>NOT(ISBLANK($C35))</formula>
    </cfRule>
  </conditionalFormatting>
  <conditionalFormatting sqref="W35">
    <cfRule type="expression" dxfId="341" priority="240">
      <formula>NOT(ISBLANK($A35))</formula>
    </cfRule>
  </conditionalFormatting>
  <conditionalFormatting sqref="W35">
    <cfRule type="expression" dxfId="340" priority="241">
      <formula>NOT(ISBLANK($B35))</formula>
    </cfRule>
  </conditionalFormatting>
  <conditionalFormatting sqref="W35">
    <cfRule type="expression" dxfId="339" priority="242">
      <formula>NOT(ISBLANK($C35))</formula>
    </cfRule>
  </conditionalFormatting>
  <conditionalFormatting sqref="V25:W25">
    <cfRule type="expression" dxfId="338" priority="237">
      <formula>NOT(ISBLANK($A25))</formula>
    </cfRule>
  </conditionalFormatting>
  <conditionalFormatting sqref="V25:W25">
    <cfRule type="expression" dxfId="337" priority="238">
      <formula>NOT(ISBLANK($B25))</formula>
    </cfRule>
  </conditionalFormatting>
  <conditionalFormatting sqref="V25:W25">
    <cfRule type="expression" dxfId="336" priority="239">
      <formula>NOT(ISBLANK($C25))</formula>
    </cfRule>
  </conditionalFormatting>
  <conditionalFormatting sqref="V34:W34">
    <cfRule type="expression" dxfId="335" priority="234">
      <formula>NOT(ISBLANK($A34))</formula>
    </cfRule>
  </conditionalFormatting>
  <conditionalFormatting sqref="V34:W34">
    <cfRule type="expression" dxfId="334" priority="235">
      <formula>NOT(ISBLANK($B34))</formula>
    </cfRule>
  </conditionalFormatting>
  <conditionalFormatting sqref="V34:W34">
    <cfRule type="expression" dxfId="333" priority="236">
      <formula>NOT(ISBLANK($C34))</formula>
    </cfRule>
  </conditionalFormatting>
  <conditionalFormatting sqref="V21:W21">
    <cfRule type="expression" dxfId="332" priority="231">
      <formula>NOT(ISBLANK($A21))</formula>
    </cfRule>
  </conditionalFormatting>
  <conditionalFormatting sqref="V21:W21">
    <cfRule type="expression" dxfId="331" priority="232">
      <formula>NOT(ISBLANK($B21))</formula>
    </cfRule>
  </conditionalFormatting>
  <conditionalFormatting sqref="V21:W21">
    <cfRule type="expression" dxfId="330" priority="233">
      <formula>NOT(ISBLANK($C21))</formula>
    </cfRule>
  </conditionalFormatting>
  <conditionalFormatting sqref="W21">
    <cfRule type="expression" dxfId="329" priority="228">
      <formula>NOT(ISBLANK($A21))</formula>
    </cfRule>
  </conditionalFormatting>
  <conditionalFormatting sqref="W21">
    <cfRule type="expression" dxfId="328" priority="229">
      <formula>NOT(ISBLANK($B21))</formula>
    </cfRule>
  </conditionalFormatting>
  <conditionalFormatting sqref="W21">
    <cfRule type="expression" dxfId="327" priority="230">
      <formula>NOT(ISBLANK($C21))</formula>
    </cfRule>
  </conditionalFormatting>
  <conditionalFormatting sqref="W21">
    <cfRule type="expression" dxfId="326" priority="225">
      <formula>NOT(ISBLANK($A21))</formula>
    </cfRule>
  </conditionalFormatting>
  <conditionalFormatting sqref="W21">
    <cfRule type="expression" dxfId="325" priority="226">
      <formula>NOT(ISBLANK($B21))</formula>
    </cfRule>
  </conditionalFormatting>
  <conditionalFormatting sqref="W21">
    <cfRule type="expression" dxfId="324" priority="227">
      <formula>NOT(ISBLANK($C21))</formula>
    </cfRule>
  </conditionalFormatting>
  <conditionalFormatting sqref="V21">
    <cfRule type="expression" dxfId="323" priority="222">
      <formula>NOT(ISBLANK($A21))</formula>
    </cfRule>
  </conditionalFormatting>
  <conditionalFormatting sqref="V21">
    <cfRule type="expression" dxfId="322" priority="223">
      <formula>NOT(ISBLANK($B21))</formula>
    </cfRule>
  </conditionalFormatting>
  <conditionalFormatting sqref="V21">
    <cfRule type="expression" dxfId="321" priority="224">
      <formula>NOT(ISBLANK($C21))</formula>
    </cfRule>
  </conditionalFormatting>
  <conditionalFormatting sqref="V21">
    <cfRule type="expression" dxfId="320" priority="219">
      <formula>NOT(ISBLANK($A21))</formula>
    </cfRule>
  </conditionalFormatting>
  <conditionalFormatting sqref="V21">
    <cfRule type="expression" dxfId="319" priority="220">
      <formula>NOT(ISBLANK($B21))</formula>
    </cfRule>
  </conditionalFormatting>
  <conditionalFormatting sqref="V21">
    <cfRule type="expression" dxfId="318" priority="221">
      <formula>NOT(ISBLANK($C21))</formula>
    </cfRule>
  </conditionalFormatting>
  <conditionalFormatting sqref="V29:W29">
    <cfRule type="expression" dxfId="317" priority="216">
      <formula>NOT(ISBLANK($A29))</formula>
    </cfRule>
  </conditionalFormatting>
  <conditionalFormatting sqref="V29:W29">
    <cfRule type="expression" dxfId="316" priority="217">
      <formula>NOT(ISBLANK($B29))</formula>
    </cfRule>
  </conditionalFormatting>
  <conditionalFormatting sqref="V29:W29">
    <cfRule type="expression" dxfId="315" priority="218">
      <formula>NOT(ISBLANK($C29))</formula>
    </cfRule>
  </conditionalFormatting>
  <conditionalFormatting sqref="V29">
    <cfRule type="expression" dxfId="314" priority="213">
      <formula>NOT(ISBLANK($A29))</formula>
    </cfRule>
  </conditionalFormatting>
  <conditionalFormatting sqref="V29">
    <cfRule type="expression" dxfId="313" priority="214">
      <formula>NOT(ISBLANK($B29))</formula>
    </cfRule>
  </conditionalFormatting>
  <conditionalFormatting sqref="V29">
    <cfRule type="expression" dxfId="312" priority="215">
      <formula>NOT(ISBLANK($C29))</formula>
    </cfRule>
  </conditionalFormatting>
  <conditionalFormatting sqref="W29">
    <cfRule type="expression" dxfId="311" priority="210">
      <formula>NOT(ISBLANK($A29))</formula>
    </cfRule>
  </conditionalFormatting>
  <conditionalFormatting sqref="W29">
    <cfRule type="expression" dxfId="310" priority="211">
      <formula>NOT(ISBLANK($B29))</formula>
    </cfRule>
  </conditionalFormatting>
  <conditionalFormatting sqref="W29">
    <cfRule type="expression" dxfId="309" priority="212">
      <formula>NOT(ISBLANK($C29))</formula>
    </cfRule>
  </conditionalFormatting>
  <conditionalFormatting sqref="V31:W31">
    <cfRule type="expression" dxfId="308" priority="207">
      <formula>NOT(ISBLANK($A31))</formula>
    </cfRule>
  </conditionalFormatting>
  <conditionalFormatting sqref="V31:W31">
    <cfRule type="expression" dxfId="307" priority="208">
      <formula>NOT(ISBLANK($B31))</formula>
    </cfRule>
  </conditionalFormatting>
  <conditionalFormatting sqref="V31:W31">
    <cfRule type="expression" dxfId="306" priority="209">
      <formula>NOT(ISBLANK($C31))</formula>
    </cfRule>
  </conditionalFormatting>
  <conditionalFormatting sqref="V31">
    <cfRule type="expression" dxfId="305" priority="204">
      <formula>NOT(ISBLANK($A31))</formula>
    </cfRule>
  </conditionalFormatting>
  <conditionalFormatting sqref="V31">
    <cfRule type="expression" dxfId="304" priority="205">
      <formula>NOT(ISBLANK($B31))</formula>
    </cfRule>
  </conditionalFormatting>
  <conditionalFormatting sqref="V31">
    <cfRule type="expression" dxfId="303" priority="206">
      <formula>NOT(ISBLANK($C31))</formula>
    </cfRule>
  </conditionalFormatting>
  <conditionalFormatting sqref="V31:W31">
    <cfRule type="expression" dxfId="302" priority="201">
      <formula>NOT(ISBLANK($A31))</formula>
    </cfRule>
  </conditionalFormatting>
  <conditionalFormatting sqref="V31:W31">
    <cfRule type="expression" dxfId="301" priority="202">
      <formula>NOT(ISBLANK($B31))</formula>
    </cfRule>
  </conditionalFormatting>
  <conditionalFormatting sqref="V31:W31">
    <cfRule type="expression" dxfId="300" priority="203">
      <formula>NOT(ISBLANK($C31))</formula>
    </cfRule>
  </conditionalFormatting>
  <conditionalFormatting sqref="V26">
    <cfRule type="expression" dxfId="299" priority="198">
      <formula>NOT(ISBLANK($A26))</formula>
    </cfRule>
  </conditionalFormatting>
  <conditionalFormatting sqref="V26">
    <cfRule type="expression" dxfId="298" priority="199">
      <formula>NOT(ISBLANK($B26))</formula>
    </cfRule>
  </conditionalFormatting>
  <conditionalFormatting sqref="V26">
    <cfRule type="expression" dxfId="297" priority="200">
      <formula>NOT(ISBLANK($C26))</formula>
    </cfRule>
  </conditionalFormatting>
  <conditionalFormatting sqref="V26">
    <cfRule type="expression" dxfId="296" priority="195">
      <formula>NOT(ISBLANK($A26))</formula>
    </cfRule>
  </conditionalFormatting>
  <conditionalFormatting sqref="V26">
    <cfRule type="expression" dxfId="295" priority="196">
      <formula>NOT(ISBLANK($B26))</formula>
    </cfRule>
  </conditionalFormatting>
  <conditionalFormatting sqref="V26">
    <cfRule type="expression" dxfId="294" priority="197">
      <formula>NOT(ISBLANK($C26))</formula>
    </cfRule>
  </conditionalFormatting>
  <conditionalFormatting sqref="V26">
    <cfRule type="expression" dxfId="293" priority="192">
      <formula>NOT(ISBLANK($A26))</formula>
    </cfRule>
  </conditionalFormatting>
  <conditionalFormatting sqref="V26">
    <cfRule type="expression" dxfId="292" priority="193">
      <formula>NOT(ISBLANK($B26))</formula>
    </cfRule>
  </conditionalFormatting>
  <conditionalFormatting sqref="V26">
    <cfRule type="expression" dxfId="291" priority="194">
      <formula>NOT(ISBLANK($C26))</formula>
    </cfRule>
  </conditionalFormatting>
  <conditionalFormatting sqref="V26">
    <cfRule type="expression" dxfId="290" priority="189">
      <formula>NOT(ISBLANK($A26))</formula>
    </cfRule>
  </conditionalFormatting>
  <conditionalFormatting sqref="V26">
    <cfRule type="expression" dxfId="289" priority="190">
      <formula>NOT(ISBLANK($B26))</formula>
    </cfRule>
  </conditionalFormatting>
  <conditionalFormatting sqref="V26">
    <cfRule type="expression" dxfId="288" priority="191">
      <formula>NOT(ISBLANK($C26))</formula>
    </cfRule>
  </conditionalFormatting>
  <conditionalFormatting sqref="V26">
    <cfRule type="expression" dxfId="287" priority="186">
      <formula>NOT(ISBLANK($A26))</formula>
    </cfRule>
  </conditionalFormatting>
  <conditionalFormatting sqref="V26">
    <cfRule type="expression" dxfId="286" priority="187">
      <formula>NOT(ISBLANK($B26))</formula>
    </cfRule>
  </conditionalFormatting>
  <conditionalFormatting sqref="V26">
    <cfRule type="expression" dxfId="285" priority="188">
      <formula>NOT(ISBLANK($C26))</formula>
    </cfRule>
  </conditionalFormatting>
  <conditionalFormatting sqref="V26">
    <cfRule type="expression" dxfId="284" priority="183">
      <formula>NOT(ISBLANK($A26))</formula>
    </cfRule>
  </conditionalFormatting>
  <conditionalFormatting sqref="V26">
    <cfRule type="expression" dxfId="283" priority="184">
      <formula>NOT(ISBLANK($B26))</formula>
    </cfRule>
  </conditionalFormatting>
  <conditionalFormatting sqref="V26">
    <cfRule type="expression" dxfId="282" priority="185">
      <formula>NOT(ISBLANK($C26))</formula>
    </cfRule>
  </conditionalFormatting>
  <conditionalFormatting sqref="V38:W38">
    <cfRule type="expression" dxfId="281" priority="180">
      <formula>NOT(ISBLANK($A38))</formula>
    </cfRule>
  </conditionalFormatting>
  <conditionalFormatting sqref="V38:W38">
    <cfRule type="expression" dxfId="280" priority="181">
      <formula>NOT(ISBLANK($B38))</formula>
    </cfRule>
  </conditionalFormatting>
  <conditionalFormatting sqref="V38:W38">
    <cfRule type="expression" dxfId="279" priority="182">
      <formula>NOT(ISBLANK($C38))</formula>
    </cfRule>
  </conditionalFormatting>
  <conditionalFormatting sqref="V38">
    <cfRule type="expression" dxfId="278" priority="177">
      <formula>NOT(ISBLANK($A38))</formula>
    </cfRule>
  </conditionalFormatting>
  <conditionalFormatting sqref="V38">
    <cfRule type="expression" dxfId="277" priority="178">
      <formula>NOT(ISBLANK($B38))</formula>
    </cfRule>
  </conditionalFormatting>
  <conditionalFormatting sqref="V38">
    <cfRule type="expression" dxfId="276" priority="179">
      <formula>NOT(ISBLANK($C38))</formula>
    </cfRule>
  </conditionalFormatting>
  <conditionalFormatting sqref="W38">
    <cfRule type="expression" dxfId="275" priority="174">
      <formula>NOT(ISBLANK($A38))</formula>
    </cfRule>
  </conditionalFormatting>
  <conditionalFormatting sqref="W38">
    <cfRule type="expression" dxfId="274" priority="175">
      <formula>NOT(ISBLANK($B38))</formula>
    </cfRule>
  </conditionalFormatting>
  <conditionalFormatting sqref="W38">
    <cfRule type="expression" dxfId="273" priority="176">
      <formula>NOT(ISBLANK($C38))</formula>
    </cfRule>
  </conditionalFormatting>
  <conditionalFormatting sqref="Q46:R46">
    <cfRule type="expression" dxfId="272" priority="171">
      <formula>NOT(ISBLANK($A46))</formula>
    </cfRule>
  </conditionalFormatting>
  <conditionalFormatting sqref="Q46:R46">
    <cfRule type="expression" dxfId="271" priority="172">
      <formula>NOT(ISBLANK($B46))</formula>
    </cfRule>
  </conditionalFormatting>
  <conditionalFormatting sqref="Q46:R46">
    <cfRule type="expression" dxfId="270" priority="173">
      <formula>NOT(ISBLANK($C46))</formula>
    </cfRule>
  </conditionalFormatting>
  <conditionalFormatting sqref="V47:W47">
    <cfRule type="expression" dxfId="269" priority="167">
      <formula>NOT(ISBLANK($A47))</formula>
    </cfRule>
  </conditionalFormatting>
  <conditionalFormatting sqref="V47:W47">
    <cfRule type="expression" dxfId="268" priority="168">
      <formula>NOT(ISBLANK($B47))</formula>
    </cfRule>
  </conditionalFormatting>
  <conditionalFormatting sqref="V47:W47">
    <cfRule type="expression" dxfId="267" priority="169">
      <formula>NOT(ISBLANK($C47))</formula>
    </cfRule>
  </conditionalFormatting>
  <conditionalFormatting sqref="V46:W46">
    <cfRule type="expression" dxfId="266" priority="170">
      <formula>_xludf.ISFORMULA(V46)</formula>
    </cfRule>
  </conditionalFormatting>
  <conditionalFormatting sqref="V46:W46">
    <cfRule type="expression" dxfId="265" priority="164">
      <formula>NOT(ISBLANK($A46))</formula>
    </cfRule>
  </conditionalFormatting>
  <conditionalFormatting sqref="V46:W46">
    <cfRule type="expression" dxfId="264" priority="165">
      <formula>NOT(ISBLANK($B46))</formula>
    </cfRule>
  </conditionalFormatting>
  <conditionalFormatting sqref="V46:W46">
    <cfRule type="expression" dxfId="263" priority="166">
      <formula>NOT(ISBLANK($C46))</formula>
    </cfRule>
  </conditionalFormatting>
  <conditionalFormatting sqref="V42:W42">
    <cfRule type="expression" dxfId="262" priority="161">
      <formula>NOT(ISBLANK($A42))</formula>
    </cfRule>
  </conditionalFormatting>
  <conditionalFormatting sqref="V42:W42">
    <cfRule type="expression" dxfId="261" priority="162">
      <formula>NOT(ISBLANK($B42))</formula>
    </cfRule>
  </conditionalFormatting>
  <conditionalFormatting sqref="V42:W42">
    <cfRule type="expression" dxfId="260" priority="163">
      <formula>NOT(ISBLANK($C42))</formula>
    </cfRule>
  </conditionalFormatting>
  <conditionalFormatting sqref="V42">
    <cfRule type="expression" dxfId="259" priority="158">
      <formula>NOT(ISBLANK($A42))</formula>
    </cfRule>
  </conditionalFormatting>
  <conditionalFormatting sqref="V42">
    <cfRule type="expression" dxfId="258" priority="159">
      <formula>NOT(ISBLANK($B42))</formula>
    </cfRule>
  </conditionalFormatting>
  <conditionalFormatting sqref="V42">
    <cfRule type="expression" dxfId="257" priority="160">
      <formula>NOT(ISBLANK($C42))</formula>
    </cfRule>
  </conditionalFormatting>
  <conditionalFormatting sqref="W42">
    <cfRule type="expression" dxfId="256" priority="155">
      <formula>NOT(ISBLANK($A42))</formula>
    </cfRule>
  </conditionalFormatting>
  <conditionalFormatting sqref="W42">
    <cfRule type="expression" dxfId="255" priority="156">
      <formula>NOT(ISBLANK($B42))</formula>
    </cfRule>
  </conditionalFormatting>
  <conditionalFormatting sqref="W42">
    <cfRule type="expression" dxfId="254" priority="157">
      <formula>NOT(ISBLANK($C42))</formula>
    </cfRule>
  </conditionalFormatting>
  <conditionalFormatting sqref="V41:W41">
    <cfRule type="expression" dxfId="253" priority="152">
      <formula>NOT(ISBLANK($A41))</formula>
    </cfRule>
  </conditionalFormatting>
  <conditionalFormatting sqref="V41:W41">
    <cfRule type="expression" dxfId="252" priority="153">
      <formula>NOT(ISBLANK($B41))</formula>
    </cfRule>
  </conditionalFormatting>
  <conditionalFormatting sqref="V41:W41">
    <cfRule type="expression" dxfId="251" priority="154">
      <formula>NOT(ISBLANK($C41))</formula>
    </cfRule>
  </conditionalFormatting>
  <conditionalFormatting sqref="Q86:R86">
    <cfRule type="expression" dxfId="250" priority="149">
      <formula>NOT(ISBLANK($A86))</formula>
    </cfRule>
  </conditionalFormatting>
  <conditionalFormatting sqref="Q86:R86">
    <cfRule type="expression" dxfId="249" priority="150">
      <formula>NOT(ISBLANK($B86))</formula>
    </cfRule>
  </conditionalFormatting>
  <conditionalFormatting sqref="Q86:R86">
    <cfRule type="expression" dxfId="248" priority="151">
      <formula>NOT(ISBLANK($C86))</formula>
    </cfRule>
  </conditionalFormatting>
  <conditionalFormatting sqref="Q70:R70">
    <cfRule type="expression" dxfId="247" priority="146">
      <formula>NOT(ISBLANK($A70))</formula>
    </cfRule>
  </conditionalFormatting>
  <conditionalFormatting sqref="Q70:R70">
    <cfRule type="expression" dxfId="246" priority="147">
      <formula>NOT(ISBLANK($B70))</formula>
    </cfRule>
  </conditionalFormatting>
  <conditionalFormatting sqref="Q70:R70">
    <cfRule type="expression" dxfId="245" priority="148">
      <formula>NOT(ISBLANK($C70))</formula>
    </cfRule>
  </conditionalFormatting>
  <conditionalFormatting sqref="Q46:R46">
    <cfRule type="expression" dxfId="244" priority="143">
      <formula>NOT(ISBLANK($A46))</formula>
    </cfRule>
  </conditionalFormatting>
  <conditionalFormatting sqref="Q46:R46">
    <cfRule type="expression" dxfId="243" priority="144">
      <formula>NOT(ISBLANK($B46))</formula>
    </cfRule>
  </conditionalFormatting>
  <conditionalFormatting sqref="Q46:R46">
    <cfRule type="expression" dxfId="242" priority="145">
      <formula>NOT(ISBLANK($C46))</formula>
    </cfRule>
  </conditionalFormatting>
  <conditionalFormatting sqref="T54:W60">
    <cfRule type="expression" dxfId="241" priority="291">
      <formula>_xludf.ISFORMULA(T47)</formula>
    </cfRule>
  </conditionalFormatting>
  <conditionalFormatting sqref="V48:W48">
    <cfRule type="expression" dxfId="240" priority="140">
      <formula>NOT(ISBLANK($A48))</formula>
    </cfRule>
  </conditionalFormatting>
  <conditionalFormatting sqref="V48:W48">
    <cfRule type="expression" dxfId="239" priority="141">
      <formula>NOT(ISBLANK($B48))</formula>
    </cfRule>
  </conditionalFormatting>
  <conditionalFormatting sqref="V48:W48">
    <cfRule type="expression" dxfId="238" priority="142">
      <formula>NOT(ISBLANK($C48))</formula>
    </cfRule>
  </conditionalFormatting>
  <conditionalFormatting sqref="V48">
    <cfRule type="expression" dxfId="237" priority="137">
      <formula>NOT(ISBLANK($A48))</formula>
    </cfRule>
  </conditionalFormatting>
  <conditionalFormatting sqref="V48">
    <cfRule type="expression" dxfId="236" priority="138">
      <formula>NOT(ISBLANK($B48))</formula>
    </cfRule>
  </conditionalFormatting>
  <conditionalFormatting sqref="V48">
    <cfRule type="expression" dxfId="235" priority="139">
      <formula>NOT(ISBLANK($C48))</formula>
    </cfRule>
  </conditionalFormatting>
  <conditionalFormatting sqref="W48">
    <cfRule type="expression" dxfId="234" priority="134">
      <formula>NOT(ISBLANK($A48))</formula>
    </cfRule>
  </conditionalFormatting>
  <conditionalFormatting sqref="W48">
    <cfRule type="expression" dxfId="233" priority="135">
      <formula>NOT(ISBLANK($B48))</formula>
    </cfRule>
  </conditionalFormatting>
  <conditionalFormatting sqref="W48">
    <cfRule type="expression" dxfId="232" priority="136">
      <formula>NOT(ISBLANK($C48))</formula>
    </cfRule>
  </conditionalFormatting>
  <conditionalFormatting sqref="V54:W54">
    <cfRule type="expression" dxfId="231" priority="133">
      <formula>_xludf.ISFORMULA(V47)</formula>
    </cfRule>
  </conditionalFormatting>
  <conditionalFormatting sqref="V54:W54">
    <cfRule type="expression" dxfId="230" priority="130">
      <formula>NOT(ISBLANK($A54))</formula>
    </cfRule>
  </conditionalFormatting>
  <conditionalFormatting sqref="V54:W54">
    <cfRule type="expression" dxfId="229" priority="131">
      <formula>NOT(ISBLANK($B54))</formula>
    </cfRule>
  </conditionalFormatting>
  <conditionalFormatting sqref="V54:W54">
    <cfRule type="expression" dxfId="228" priority="132">
      <formula>NOT(ISBLANK($C54))</formula>
    </cfRule>
  </conditionalFormatting>
  <conditionalFormatting sqref="V54">
    <cfRule type="expression" dxfId="227" priority="127">
      <formula>NOT(ISBLANK($A54))</formula>
    </cfRule>
  </conditionalFormatting>
  <conditionalFormatting sqref="V54">
    <cfRule type="expression" dxfId="226" priority="128">
      <formula>NOT(ISBLANK($B54))</formula>
    </cfRule>
  </conditionalFormatting>
  <conditionalFormatting sqref="V54">
    <cfRule type="expression" dxfId="225" priority="129">
      <formula>NOT(ISBLANK($C54))</formula>
    </cfRule>
  </conditionalFormatting>
  <conditionalFormatting sqref="W54">
    <cfRule type="expression" dxfId="224" priority="124">
      <formula>NOT(ISBLANK($A54))</formula>
    </cfRule>
  </conditionalFormatting>
  <conditionalFormatting sqref="W54">
    <cfRule type="expression" dxfId="223" priority="125">
      <formula>NOT(ISBLANK($B54))</formula>
    </cfRule>
  </conditionalFormatting>
  <conditionalFormatting sqref="W54">
    <cfRule type="expression" dxfId="222" priority="126">
      <formula>NOT(ISBLANK($C54))</formula>
    </cfRule>
  </conditionalFormatting>
  <conditionalFormatting sqref="W59">
    <cfRule type="expression" dxfId="221" priority="123">
      <formula>_xludf.ISFORMULA(W52)</formula>
    </cfRule>
  </conditionalFormatting>
  <conditionalFormatting sqref="W59">
    <cfRule type="expression" dxfId="220" priority="120">
      <formula>NOT(ISBLANK($A59))</formula>
    </cfRule>
  </conditionalFormatting>
  <conditionalFormatting sqref="W59">
    <cfRule type="expression" dxfId="219" priority="121">
      <formula>NOT(ISBLANK($B59))</formula>
    </cfRule>
  </conditionalFormatting>
  <conditionalFormatting sqref="W59">
    <cfRule type="expression" dxfId="218" priority="122">
      <formula>NOT(ISBLANK($C59))</formula>
    </cfRule>
  </conditionalFormatting>
  <conditionalFormatting sqref="W59">
    <cfRule type="expression" dxfId="217" priority="117">
      <formula>NOT(ISBLANK($A59))</formula>
    </cfRule>
  </conditionalFormatting>
  <conditionalFormatting sqref="W59">
    <cfRule type="expression" dxfId="216" priority="118">
      <formula>NOT(ISBLANK($B59))</formula>
    </cfRule>
  </conditionalFormatting>
  <conditionalFormatting sqref="W59">
    <cfRule type="expression" dxfId="215" priority="119">
      <formula>NOT(ISBLANK($C59))</formula>
    </cfRule>
  </conditionalFormatting>
  <conditionalFormatting sqref="V59">
    <cfRule type="expression" dxfId="214" priority="116">
      <formula>_xludf.ISFORMULA(V52)</formula>
    </cfRule>
  </conditionalFormatting>
  <conditionalFormatting sqref="V59">
    <cfRule type="expression" dxfId="213" priority="113">
      <formula>NOT(ISBLANK($A59))</formula>
    </cfRule>
  </conditionalFormatting>
  <conditionalFormatting sqref="V59">
    <cfRule type="expression" dxfId="212" priority="114">
      <formula>NOT(ISBLANK($B59))</formula>
    </cfRule>
  </conditionalFormatting>
  <conditionalFormatting sqref="V59">
    <cfRule type="expression" dxfId="211" priority="115">
      <formula>NOT(ISBLANK($C59))</formula>
    </cfRule>
  </conditionalFormatting>
  <conditionalFormatting sqref="V59">
    <cfRule type="expression" dxfId="210" priority="110">
      <formula>NOT(ISBLANK($A59))</formula>
    </cfRule>
  </conditionalFormatting>
  <conditionalFormatting sqref="V59">
    <cfRule type="expression" dxfId="209" priority="111">
      <formula>NOT(ISBLANK($B59))</formula>
    </cfRule>
  </conditionalFormatting>
  <conditionalFormatting sqref="V59">
    <cfRule type="expression" dxfId="208" priority="112">
      <formula>NOT(ISBLANK($C59))</formula>
    </cfRule>
  </conditionalFormatting>
  <conditionalFormatting sqref="V64:W64">
    <cfRule type="expression" dxfId="207" priority="109">
      <formula>_xludf.ISFORMULA(V57)</formula>
    </cfRule>
  </conditionalFormatting>
  <conditionalFormatting sqref="W64">
    <cfRule type="expression" dxfId="206" priority="108">
      <formula>_xludf.ISFORMULA(W57)</formula>
    </cfRule>
  </conditionalFormatting>
  <conditionalFormatting sqref="W64">
    <cfRule type="expression" dxfId="205" priority="105">
      <formula>NOT(ISBLANK($A64))</formula>
    </cfRule>
  </conditionalFormatting>
  <conditionalFormatting sqref="W64">
    <cfRule type="expression" dxfId="204" priority="106">
      <formula>NOT(ISBLANK($B64))</formula>
    </cfRule>
  </conditionalFormatting>
  <conditionalFormatting sqref="W64">
    <cfRule type="expression" dxfId="203" priority="107">
      <formula>NOT(ISBLANK($C64))</formula>
    </cfRule>
  </conditionalFormatting>
  <conditionalFormatting sqref="W64">
    <cfRule type="expression" dxfId="202" priority="102">
      <formula>NOT(ISBLANK($A64))</formula>
    </cfRule>
  </conditionalFormatting>
  <conditionalFormatting sqref="W64">
    <cfRule type="expression" dxfId="201" priority="103">
      <formula>NOT(ISBLANK($B64))</formula>
    </cfRule>
  </conditionalFormatting>
  <conditionalFormatting sqref="W64">
    <cfRule type="expression" dxfId="200" priority="104">
      <formula>NOT(ISBLANK($C64))</formula>
    </cfRule>
  </conditionalFormatting>
  <conditionalFormatting sqref="V64">
    <cfRule type="expression" dxfId="199" priority="101">
      <formula>_xludf.ISFORMULA(V57)</formula>
    </cfRule>
  </conditionalFormatting>
  <conditionalFormatting sqref="V64">
    <cfRule type="expression" dxfId="198" priority="98">
      <formula>NOT(ISBLANK($A64))</formula>
    </cfRule>
  </conditionalFormatting>
  <conditionalFormatting sqref="V64">
    <cfRule type="expression" dxfId="197" priority="99">
      <formula>NOT(ISBLANK($B64))</formula>
    </cfRule>
  </conditionalFormatting>
  <conditionalFormatting sqref="V64">
    <cfRule type="expression" dxfId="196" priority="100">
      <formula>NOT(ISBLANK($C64))</formula>
    </cfRule>
  </conditionalFormatting>
  <conditionalFormatting sqref="V64">
    <cfRule type="expression" dxfId="195" priority="95">
      <formula>NOT(ISBLANK($A64))</formula>
    </cfRule>
  </conditionalFormatting>
  <conditionalFormatting sqref="V64">
    <cfRule type="expression" dxfId="194" priority="96">
      <formula>NOT(ISBLANK($B64))</formula>
    </cfRule>
  </conditionalFormatting>
  <conditionalFormatting sqref="V64">
    <cfRule type="expression" dxfId="193" priority="97">
      <formula>NOT(ISBLANK($C64))</formula>
    </cfRule>
  </conditionalFormatting>
  <conditionalFormatting sqref="V71:W71">
    <cfRule type="expression" dxfId="192" priority="91">
      <formula>NOT(ISBLANK($A71))</formula>
    </cfRule>
  </conditionalFormatting>
  <conditionalFormatting sqref="V71:W71">
    <cfRule type="expression" dxfId="191" priority="92">
      <formula>NOT(ISBLANK($B71))</formula>
    </cfRule>
  </conditionalFormatting>
  <conditionalFormatting sqref="V71:W71">
    <cfRule type="expression" dxfId="190" priority="93">
      <formula>NOT(ISBLANK($C71))</formula>
    </cfRule>
  </conditionalFormatting>
  <conditionalFormatting sqref="V70:W70">
    <cfRule type="expression" dxfId="189" priority="94">
      <formula>_xludf.ISFORMULA(V70)</formula>
    </cfRule>
  </conditionalFormatting>
  <conditionalFormatting sqref="V70:W70">
    <cfRule type="expression" dxfId="188" priority="88">
      <formula>NOT(ISBLANK($A70))</formula>
    </cfRule>
  </conditionalFormatting>
  <conditionalFormatting sqref="V70:W70">
    <cfRule type="expression" dxfId="187" priority="89">
      <formula>NOT(ISBLANK($B70))</formula>
    </cfRule>
  </conditionalFormatting>
  <conditionalFormatting sqref="V70:W70">
    <cfRule type="expression" dxfId="186" priority="90">
      <formula>NOT(ISBLANK($C70))</formula>
    </cfRule>
  </conditionalFormatting>
  <conditionalFormatting sqref="V72:W72">
    <cfRule type="expression" dxfId="185" priority="85">
      <formula>NOT(ISBLANK($A72))</formula>
    </cfRule>
  </conditionalFormatting>
  <conditionalFormatting sqref="V72:W72">
    <cfRule type="expression" dxfId="184" priority="86">
      <formula>NOT(ISBLANK($B72))</formula>
    </cfRule>
  </conditionalFormatting>
  <conditionalFormatting sqref="V72:W72">
    <cfRule type="expression" dxfId="183" priority="87">
      <formula>NOT(ISBLANK($C72))</formula>
    </cfRule>
  </conditionalFormatting>
  <conditionalFormatting sqref="V72">
    <cfRule type="expression" dxfId="182" priority="82">
      <formula>NOT(ISBLANK($A72))</formula>
    </cfRule>
  </conditionalFormatting>
  <conditionalFormatting sqref="V72">
    <cfRule type="expression" dxfId="181" priority="83">
      <formula>NOT(ISBLANK($B72))</formula>
    </cfRule>
  </conditionalFormatting>
  <conditionalFormatting sqref="V72">
    <cfRule type="expression" dxfId="180" priority="84">
      <formula>NOT(ISBLANK($C72))</formula>
    </cfRule>
  </conditionalFormatting>
  <conditionalFormatting sqref="W72">
    <cfRule type="expression" dxfId="179" priority="79">
      <formula>NOT(ISBLANK($A72))</formula>
    </cfRule>
  </conditionalFormatting>
  <conditionalFormatting sqref="W72">
    <cfRule type="expression" dxfId="178" priority="80">
      <formula>NOT(ISBLANK($B72))</formula>
    </cfRule>
  </conditionalFormatting>
  <conditionalFormatting sqref="W72">
    <cfRule type="expression" dxfId="177" priority="81">
      <formula>NOT(ISBLANK($C72))</formula>
    </cfRule>
  </conditionalFormatting>
  <conditionalFormatting sqref="V77:W77">
    <cfRule type="expression" dxfId="176" priority="76">
      <formula>NOT(ISBLANK($A77))</formula>
    </cfRule>
  </conditionalFormatting>
  <conditionalFormatting sqref="V77:W77">
    <cfRule type="expression" dxfId="175" priority="77">
      <formula>NOT(ISBLANK($B77))</formula>
    </cfRule>
  </conditionalFormatting>
  <conditionalFormatting sqref="V77:W77">
    <cfRule type="expression" dxfId="174" priority="78">
      <formula>NOT(ISBLANK($C77))</formula>
    </cfRule>
  </conditionalFormatting>
  <conditionalFormatting sqref="V77">
    <cfRule type="expression" dxfId="173" priority="73">
      <formula>NOT(ISBLANK($A77))</formula>
    </cfRule>
  </conditionalFormatting>
  <conditionalFormatting sqref="V77">
    <cfRule type="expression" dxfId="172" priority="74">
      <formula>NOT(ISBLANK($B77))</formula>
    </cfRule>
  </conditionalFormatting>
  <conditionalFormatting sqref="V77">
    <cfRule type="expression" dxfId="171" priority="75">
      <formula>NOT(ISBLANK($C77))</formula>
    </cfRule>
  </conditionalFormatting>
  <conditionalFormatting sqref="W77">
    <cfRule type="expression" dxfId="170" priority="70">
      <formula>NOT(ISBLANK($A77))</formula>
    </cfRule>
  </conditionalFormatting>
  <conditionalFormatting sqref="W77">
    <cfRule type="expression" dxfId="169" priority="71">
      <formula>NOT(ISBLANK($B77))</formula>
    </cfRule>
  </conditionalFormatting>
  <conditionalFormatting sqref="W77">
    <cfRule type="expression" dxfId="168" priority="72">
      <formula>NOT(ISBLANK($C77))</formula>
    </cfRule>
  </conditionalFormatting>
  <conditionalFormatting sqref="V81:W81">
    <cfRule type="expression" dxfId="167" priority="67">
      <formula>NOT(ISBLANK($A81))</formula>
    </cfRule>
  </conditionalFormatting>
  <conditionalFormatting sqref="V81:W81">
    <cfRule type="expression" dxfId="166" priority="68">
      <formula>NOT(ISBLANK($B81))</formula>
    </cfRule>
  </conditionalFormatting>
  <conditionalFormatting sqref="V81:W81">
    <cfRule type="expression" dxfId="165" priority="69">
      <formula>NOT(ISBLANK($C81))</formula>
    </cfRule>
  </conditionalFormatting>
  <conditionalFormatting sqref="V81">
    <cfRule type="expression" dxfId="164" priority="64">
      <formula>NOT(ISBLANK($A81))</formula>
    </cfRule>
  </conditionalFormatting>
  <conditionalFormatting sqref="V81">
    <cfRule type="expression" dxfId="163" priority="65">
      <formula>NOT(ISBLANK($B81))</formula>
    </cfRule>
  </conditionalFormatting>
  <conditionalFormatting sqref="V81">
    <cfRule type="expression" dxfId="162" priority="66">
      <formula>NOT(ISBLANK($C81))</formula>
    </cfRule>
  </conditionalFormatting>
  <conditionalFormatting sqref="W81">
    <cfRule type="expression" dxfId="161" priority="61">
      <formula>NOT(ISBLANK($A81))</formula>
    </cfRule>
  </conditionalFormatting>
  <conditionalFormatting sqref="W81">
    <cfRule type="expression" dxfId="160" priority="62">
      <formula>NOT(ISBLANK($B81))</formula>
    </cfRule>
  </conditionalFormatting>
  <conditionalFormatting sqref="W81">
    <cfRule type="expression" dxfId="159" priority="63">
      <formula>NOT(ISBLANK($C81))</formula>
    </cfRule>
  </conditionalFormatting>
  <conditionalFormatting sqref="V88:W88">
    <cfRule type="expression" dxfId="158" priority="58">
      <formula>NOT(ISBLANK($A88))</formula>
    </cfRule>
  </conditionalFormatting>
  <conditionalFormatting sqref="V88:W88">
    <cfRule type="expression" dxfId="157" priority="59">
      <formula>NOT(ISBLANK($B88))</formula>
    </cfRule>
  </conditionalFormatting>
  <conditionalFormatting sqref="V88:W88">
    <cfRule type="expression" dxfId="156" priority="60">
      <formula>NOT(ISBLANK($C88))</formula>
    </cfRule>
  </conditionalFormatting>
  <conditionalFormatting sqref="V88">
    <cfRule type="expression" dxfId="155" priority="55">
      <formula>NOT(ISBLANK($A88))</formula>
    </cfRule>
  </conditionalFormatting>
  <conditionalFormatting sqref="V88">
    <cfRule type="expression" dxfId="154" priority="56">
      <formula>NOT(ISBLANK($B88))</formula>
    </cfRule>
  </conditionalFormatting>
  <conditionalFormatting sqref="V88">
    <cfRule type="expression" dxfId="153" priority="57">
      <formula>NOT(ISBLANK($C88))</formula>
    </cfRule>
  </conditionalFormatting>
  <conditionalFormatting sqref="W88">
    <cfRule type="expression" dxfId="152" priority="52">
      <formula>NOT(ISBLANK($A88))</formula>
    </cfRule>
  </conditionalFormatting>
  <conditionalFormatting sqref="W88">
    <cfRule type="expression" dxfId="151" priority="53">
      <formula>NOT(ISBLANK($B88))</formula>
    </cfRule>
  </conditionalFormatting>
  <conditionalFormatting sqref="W88">
    <cfRule type="expression" dxfId="150" priority="54">
      <formula>NOT(ISBLANK($C88))</formula>
    </cfRule>
  </conditionalFormatting>
  <conditionalFormatting sqref="V87:W87">
    <cfRule type="expression" dxfId="149" priority="49">
      <formula>NOT(ISBLANK($A87))</formula>
    </cfRule>
  </conditionalFormatting>
  <conditionalFormatting sqref="V87:W87">
    <cfRule type="expression" dxfId="148" priority="50">
      <formula>NOT(ISBLANK($B87))</formula>
    </cfRule>
  </conditionalFormatting>
  <conditionalFormatting sqref="V87:W87">
    <cfRule type="expression" dxfId="147" priority="51">
      <formula>NOT(ISBLANK($C87))</formula>
    </cfRule>
  </conditionalFormatting>
  <conditionalFormatting sqref="V87">
    <cfRule type="expression" dxfId="146" priority="46">
      <formula>NOT(ISBLANK($A87))</formula>
    </cfRule>
  </conditionalFormatting>
  <conditionalFormatting sqref="V87">
    <cfRule type="expression" dxfId="145" priority="47">
      <formula>NOT(ISBLANK($B87))</formula>
    </cfRule>
  </conditionalFormatting>
  <conditionalFormatting sqref="V87">
    <cfRule type="expression" dxfId="144" priority="48">
      <formula>NOT(ISBLANK($C87))</formula>
    </cfRule>
  </conditionalFormatting>
  <conditionalFormatting sqref="W87">
    <cfRule type="expression" dxfId="143" priority="43">
      <formula>NOT(ISBLANK($A87))</formula>
    </cfRule>
  </conditionalFormatting>
  <conditionalFormatting sqref="W87">
    <cfRule type="expression" dxfId="142" priority="44">
      <formula>NOT(ISBLANK($B87))</formula>
    </cfRule>
  </conditionalFormatting>
  <conditionalFormatting sqref="W87">
    <cfRule type="expression" dxfId="141" priority="45">
      <formula>NOT(ISBLANK($C87))</formula>
    </cfRule>
  </conditionalFormatting>
  <conditionalFormatting sqref="V98:W98 V101:W101 V104:W104">
    <cfRule type="expression" dxfId="140" priority="40">
      <formula>NOT(ISBLANK($A98))</formula>
    </cfRule>
  </conditionalFormatting>
  <conditionalFormatting sqref="V98:W98 V101:W101 V104:W104">
    <cfRule type="expression" dxfId="139" priority="41">
      <formula>NOT(ISBLANK($B98))</formula>
    </cfRule>
  </conditionalFormatting>
  <conditionalFormatting sqref="V98:W98 V101:W101 V104:W104">
    <cfRule type="expression" dxfId="138" priority="42">
      <formula>NOT(ISBLANK($C98))</formula>
    </cfRule>
  </conditionalFormatting>
  <conditionalFormatting sqref="V97:W97">
    <cfRule type="expression" dxfId="137" priority="37">
      <formula>NOT(ISBLANK($A97))</formula>
    </cfRule>
  </conditionalFormatting>
  <conditionalFormatting sqref="V97:W97">
    <cfRule type="expression" dxfId="136" priority="38">
      <formula>NOT(ISBLANK($B97))</formula>
    </cfRule>
  </conditionalFormatting>
  <conditionalFormatting sqref="V97:W97">
    <cfRule type="expression" dxfId="135" priority="39">
      <formula>NOT(ISBLANK($C97))</formula>
    </cfRule>
  </conditionalFormatting>
  <conditionalFormatting sqref="V97">
    <cfRule type="expression" dxfId="134" priority="34">
      <formula>NOT(ISBLANK($A97))</formula>
    </cfRule>
  </conditionalFormatting>
  <conditionalFormatting sqref="V97">
    <cfRule type="expression" dxfId="133" priority="35">
      <formula>NOT(ISBLANK($B97))</formula>
    </cfRule>
  </conditionalFormatting>
  <conditionalFormatting sqref="V97">
    <cfRule type="expression" dxfId="132" priority="36">
      <formula>NOT(ISBLANK($C97))</formula>
    </cfRule>
  </conditionalFormatting>
  <conditionalFormatting sqref="W97">
    <cfRule type="expression" dxfId="131" priority="31">
      <formula>NOT(ISBLANK($A97))</formula>
    </cfRule>
  </conditionalFormatting>
  <conditionalFormatting sqref="W97">
    <cfRule type="expression" dxfId="130" priority="32">
      <formula>NOT(ISBLANK($B97))</formula>
    </cfRule>
  </conditionalFormatting>
  <conditionalFormatting sqref="W97">
    <cfRule type="expression" dxfId="129" priority="33">
      <formula>NOT(ISBLANK($C97))</formula>
    </cfRule>
  </conditionalFormatting>
  <conditionalFormatting sqref="V109:W110 V112:W112 V115:W115">
    <cfRule type="expression" dxfId="128" priority="27">
      <formula>NOT(ISBLANK($A109))</formula>
    </cfRule>
  </conditionalFormatting>
  <conditionalFormatting sqref="V109:W110 V112:W112 V115:W115">
    <cfRule type="expression" dxfId="127" priority="28">
      <formula>NOT(ISBLANK($B109))</formula>
    </cfRule>
  </conditionalFormatting>
  <conditionalFormatting sqref="V109:W110 V112:W112 V115:W115">
    <cfRule type="expression" dxfId="126" priority="29">
      <formula>NOT(ISBLANK($C109))</formula>
    </cfRule>
  </conditionalFormatting>
  <conditionalFormatting sqref="V109:W109">
    <cfRule type="expression" dxfId="125" priority="30">
      <formula>_xludf.ISFORMULA(Z109)</formula>
    </cfRule>
  </conditionalFormatting>
  <conditionalFormatting sqref="B117:M117 Y117:AC117">
    <cfRule type="expression" dxfId="124" priority="292">
      <formula>NOT(ISBLANK(#REF!))</formula>
    </cfRule>
  </conditionalFormatting>
  <conditionalFormatting sqref="O118:R118 T118:W118">
    <cfRule type="expression" dxfId="123" priority="307">
      <formula>_xludf.ISFORMULA(O113)</formula>
    </cfRule>
  </conditionalFormatting>
  <dataValidations count="3">
    <dataValidation type="list" allowBlank="1" showErrorMessage="1" sqref="P4" xr:uid="{00000000-0002-0000-0000-000000000000}">
      <formula1>"Weekly,Bi-weekly,Monthly"</formula1>
    </dataValidation>
    <dataValidation type="list" allowBlank="1" showInputMessage="1" showErrorMessage="1" prompt="Click and enter a value from the list of items" sqref="I10:I69 I71:I118" xr:uid="{00000000-0002-0000-0000-000001000000}">
      <formula1>"A,SA,M"</formula1>
    </dataValidation>
    <dataValidation type="list" allowBlank="1" showErrorMessage="1" sqref="P5" xr:uid="{00000000-0002-0000-0000-000002000000}">
      <formula1>"Plan,Actual"</formula1>
    </dataValidation>
  </dataValidations>
  <printOptions horizontalCentered="1" gridLines="1"/>
  <pageMargins left="0.25" right="0.25" top="0.75" bottom="0.75" header="0.3" footer="0.3"/>
  <pageSetup paperSize="9" fitToHeight="0"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R176"/>
  <sheetViews>
    <sheetView showGridLines="0" workbookViewId="0"/>
  </sheetViews>
  <sheetFormatPr defaultColWidth="12.625" defaultRowHeight="15" customHeight="1" outlineLevelRow="2" outlineLevelCol="1"/>
  <cols>
    <col min="1" max="2" width="5.5" customWidth="1"/>
    <col min="3" max="3" width="6.5" customWidth="1"/>
    <col min="4" max="4" width="2.625" customWidth="1"/>
    <col min="5" max="5" width="3.125" customWidth="1"/>
    <col min="6" max="7" width="3" customWidth="1"/>
    <col min="8" max="8" width="29" customWidth="1"/>
    <col min="9" max="9" width="9" customWidth="1"/>
    <col min="10" max="10" width="28.5" customWidth="1" outlineLevel="1"/>
    <col min="11" max="11" width="17.25" customWidth="1" outlineLevel="1"/>
    <col min="12" max="12" width="8.5" customWidth="1"/>
    <col min="13" max="13" width="14.625" customWidth="1"/>
    <col min="14" max="14" width="1.125" customWidth="1"/>
    <col min="15" max="15" width="11.5" customWidth="1" outlineLevel="1"/>
    <col min="16" max="16" width="12.5" customWidth="1" outlineLevel="1"/>
    <col min="17" max="17" width="13.125" customWidth="1" outlineLevel="1"/>
    <col min="18" max="18" width="1.125" customWidth="1"/>
    <col min="19" max="19" width="10.5" customWidth="1" outlineLevel="1"/>
    <col min="20" max="21" width="12" customWidth="1" outlineLevel="1"/>
    <col min="22" max="22" width="3.5" customWidth="1"/>
    <col min="23" max="23" width="11.5" customWidth="1" outlineLevel="1"/>
    <col min="24" max="24" width="12.5" customWidth="1" outlineLevel="1"/>
    <col min="25" max="25" width="13.125" customWidth="1" outlineLevel="1"/>
    <col min="26" max="26" width="3.25" hidden="1" customWidth="1"/>
    <col min="27" max="27" width="23.25" hidden="1" customWidth="1"/>
    <col min="28" max="28" width="3.5" hidden="1" customWidth="1"/>
    <col min="29" max="29" width="13.125" customWidth="1" outlineLevel="1"/>
    <col min="30" max="30" width="14.75" customWidth="1" outlineLevel="1"/>
    <col min="31" max="32" width="20.625" customWidth="1" outlineLevel="1"/>
    <col min="33" max="33" width="26.5" customWidth="1" outlineLevel="1"/>
    <col min="34" max="69" width="3.5" customWidth="1"/>
    <col min="70" max="70" width="3.75" customWidth="1"/>
  </cols>
  <sheetData>
    <row r="1" spans="1:70" ht="3" customHeight="1">
      <c r="A1" s="1"/>
      <c r="B1" s="2"/>
      <c r="C1" s="3"/>
      <c r="D1" s="74"/>
      <c r="E1" s="3"/>
      <c r="F1" s="3"/>
      <c r="G1" s="3"/>
      <c r="H1" s="3"/>
      <c r="I1" s="4"/>
      <c r="J1" s="5"/>
      <c r="K1" s="75"/>
      <c r="L1" s="6"/>
      <c r="M1" s="6"/>
      <c r="N1" s="6"/>
      <c r="O1" s="6"/>
      <c r="P1" s="7"/>
      <c r="Q1" s="7"/>
      <c r="R1" s="6"/>
      <c r="S1" s="6"/>
      <c r="T1" s="7"/>
      <c r="U1" s="7"/>
      <c r="V1" s="6"/>
      <c r="W1" s="6"/>
      <c r="X1" s="7"/>
      <c r="Y1" s="7"/>
      <c r="Z1" s="8"/>
      <c r="AA1" s="8"/>
      <c r="AB1" s="8"/>
      <c r="AC1" s="9"/>
      <c r="AD1" s="9"/>
      <c r="AE1" s="9"/>
      <c r="AF1" s="9"/>
      <c r="AG1" s="9"/>
      <c r="AH1" s="3"/>
      <c r="AI1" s="7"/>
      <c r="AJ1" s="10"/>
      <c r="AK1" s="10"/>
      <c r="AL1" s="10"/>
      <c r="AM1" s="10"/>
      <c r="AN1" s="10"/>
      <c r="AO1" s="10"/>
      <c r="AP1" s="10"/>
      <c r="AQ1" s="10"/>
      <c r="AR1" s="10"/>
      <c r="AS1" s="10"/>
      <c r="AT1" s="10"/>
      <c r="AU1" s="10"/>
      <c r="AV1" s="10"/>
      <c r="AW1" s="10"/>
      <c r="AX1" s="10"/>
      <c r="AY1" s="10"/>
      <c r="AZ1" s="10"/>
      <c r="BA1" s="10"/>
      <c r="BB1" s="10"/>
      <c r="BC1" s="5"/>
      <c r="BD1" s="5"/>
      <c r="BE1" s="5"/>
      <c r="BF1" s="5"/>
      <c r="BG1" s="5"/>
      <c r="BH1" s="5"/>
      <c r="BI1" s="5"/>
      <c r="BJ1" s="5"/>
      <c r="BK1" s="5"/>
      <c r="BL1" s="5"/>
      <c r="BM1" s="5"/>
      <c r="BN1" s="5"/>
      <c r="BO1" s="5"/>
      <c r="BP1" s="5"/>
      <c r="BQ1" s="5"/>
      <c r="BR1" s="11" t="s">
        <v>0</v>
      </c>
    </row>
    <row r="2" spans="1:70" ht="34.5" customHeight="1">
      <c r="A2" s="267"/>
      <c r="B2" s="268"/>
      <c r="C2" s="269"/>
      <c r="D2" s="269" t="s">
        <v>431</v>
      </c>
      <c r="E2" s="270"/>
      <c r="F2" s="270"/>
      <c r="G2" s="270"/>
      <c r="H2" s="270"/>
      <c r="I2" s="271"/>
      <c r="J2" s="270"/>
      <c r="K2" s="272"/>
      <c r="L2" s="270"/>
      <c r="M2" s="270"/>
      <c r="N2" s="270"/>
      <c r="O2" s="270"/>
      <c r="P2" s="271"/>
      <c r="Q2" s="271"/>
      <c r="R2" s="270"/>
      <c r="S2" s="270"/>
      <c r="T2" s="271"/>
      <c r="U2" s="271"/>
      <c r="V2" s="270"/>
      <c r="W2" s="270"/>
      <c r="X2" s="271"/>
      <c r="Y2" s="271"/>
      <c r="Z2" s="273"/>
      <c r="AA2" s="273"/>
      <c r="AB2" s="273"/>
      <c r="AC2" s="270"/>
      <c r="AD2" s="274"/>
      <c r="AE2" s="274"/>
      <c r="AF2" s="274"/>
      <c r="AG2" s="274"/>
      <c r="AH2" s="270"/>
      <c r="AI2" s="270"/>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5"/>
      <c r="BK2" s="270"/>
      <c r="BL2" s="270"/>
      <c r="BM2" s="270"/>
      <c r="BN2" s="270"/>
      <c r="BO2" s="270"/>
      <c r="BP2" s="270"/>
      <c r="BQ2" s="270">
        <v>0</v>
      </c>
      <c r="BR2" s="11" t="s">
        <v>0</v>
      </c>
    </row>
    <row r="3" spans="1:70" ht="18.75" customHeight="1">
      <c r="A3" s="276"/>
      <c r="B3" s="277"/>
      <c r="C3" s="278"/>
      <c r="D3" s="279" t="s">
        <v>2</v>
      </c>
      <c r="E3" s="278"/>
      <c r="F3" s="278"/>
      <c r="G3" s="278"/>
      <c r="H3" s="278"/>
      <c r="I3" s="280"/>
      <c r="J3" s="278"/>
      <c r="K3" s="281"/>
      <c r="L3" s="278"/>
      <c r="M3" s="278"/>
      <c r="N3" s="278"/>
      <c r="O3" s="278"/>
      <c r="P3" s="280"/>
      <c r="Q3" s="280"/>
      <c r="R3" s="278"/>
      <c r="S3" s="278"/>
      <c r="T3" s="280"/>
      <c r="U3" s="280"/>
      <c r="V3" s="278"/>
      <c r="W3" s="278"/>
      <c r="X3" s="280"/>
      <c r="Y3" s="280"/>
      <c r="Z3" s="282"/>
      <c r="AA3" s="282"/>
      <c r="AB3" s="282"/>
      <c r="AC3" s="278"/>
      <c r="AD3" s="283"/>
      <c r="AE3" s="283"/>
      <c r="AF3" s="283"/>
      <c r="AG3" s="283"/>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8"/>
      <c r="BP3" s="278"/>
      <c r="BQ3" s="278"/>
      <c r="BR3" s="11" t="s">
        <v>0</v>
      </c>
    </row>
    <row r="4" spans="1:70" ht="18.75" customHeight="1" outlineLevel="1">
      <c r="A4" s="76" t="s">
        <v>3</v>
      </c>
      <c r="B4" s="76"/>
      <c r="C4" s="76"/>
      <c r="D4" s="77" t="s">
        <v>432</v>
      </c>
      <c r="E4" s="13"/>
      <c r="F4" s="13"/>
      <c r="G4" s="13"/>
      <c r="H4" s="13"/>
      <c r="I4" s="14"/>
      <c r="J4" s="13"/>
      <c r="K4" s="78"/>
      <c r="L4" s="13"/>
      <c r="M4" s="13"/>
      <c r="N4" s="13"/>
      <c r="O4" s="13"/>
      <c r="P4" s="13"/>
      <c r="Q4" s="13"/>
      <c r="R4" s="13"/>
      <c r="S4" s="16" t="s">
        <v>5</v>
      </c>
      <c r="T4" s="79" t="s">
        <v>433</v>
      </c>
      <c r="U4" s="13"/>
      <c r="V4" s="13"/>
      <c r="W4" s="13"/>
      <c r="X4" s="13"/>
      <c r="Y4" s="13"/>
      <c r="Z4" s="19"/>
      <c r="AA4" s="19"/>
      <c r="AB4" s="19"/>
      <c r="AC4" s="20"/>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1" t="s">
        <v>0</v>
      </c>
    </row>
    <row r="5" spans="1:70" ht="18.75" customHeight="1" outlineLevel="1">
      <c r="A5" s="76" t="s">
        <v>7</v>
      </c>
      <c r="B5" s="76"/>
      <c r="C5" s="76"/>
      <c r="D5" s="77" t="s">
        <v>434</v>
      </c>
      <c r="E5" s="77"/>
      <c r="F5" s="77"/>
      <c r="G5" s="77"/>
      <c r="H5" s="77"/>
      <c r="I5" s="21"/>
      <c r="J5" s="22"/>
      <c r="K5" s="22"/>
      <c r="L5" s="22"/>
      <c r="M5" s="22"/>
      <c r="N5" s="22"/>
      <c r="O5" s="22"/>
      <c r="P5" s="22"/>
      <c r="Q5" s="22"/>
      <c r="R5" s="22"/>
      <c r="S5" s="16" t="s">
        <v>9</v>
      </c>
      <c r="T5" s="79" t="s">
        <v>10</v>
      </c>
      <c r="U5" s="22"/>
      <c r="V5" s="13"/>
      <c r="W5" s="22"/>
      <c r="X5" s="22"/>
      <c r="Y5" s="22"/>
      <c r="Z5" s="19"/>
      <c r="AA5" s="19"/>
      <c r="AB5" s="19"/>
      <c r="AC5" s="22"/>
      <c r="AD5" s="22"/>
      <c r="AE5" s="22"/>
      <c r="AF5" s="22"/>
      <c r="AG5" s="22"/>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1" t="s">
        <v>0</v>
      </c>
    </row>
    <row r="6" spans="1:70" ht="18.75" customHeight="1" outlineLevel="1">
      <c r="A6" s="76" t="s">
        <v>11</v>
      </c>
      <c r="B6" s="76"/>
      <c r="C6" s="76"/>
      <c r="D6" s="284">
        <v>45061</v>
      </c>
      <c r="E6" s="278"/>
      <c r="F6" s="278"/>
      <c r="G6" s="278"/>
      <c r="H6" s="23"/>
      <c r="I6" s="23"/>
      <c r="J6" s="22"/>
      <c r="K6" s="22"/>
      <c r="L6" s="22"/>
      <c r="M6" s="22"/>
      <c r="N6" s="22"/>
      <c r="O6" s="13"/>
      <c r="P6" s="13"/>
      <c r="Q6" s="13"/>
      <c r="R6" s="22"/>
      <c r="S6" s="13"/>
      <c r="T6" s="13"/>
      <c r="U6" s="13"/>
      <c r="V6" s="22"/>
      <c r="W6" s="13"/>
      <c r="X6" s="13"/>
      <c r="Y6" s="13"/>
      <c r="Z6" s="24"/>
      <c r="AA6" s="24"/>
      <c r="AB6" s="24"/>
      <c r="AC6" s="22"/>
      <c r="AD6" s="22"/>
      <c r="AE6" s="22"/>
      <c r="AF6" s="22"/>
      <c r="AG6" s="22"/>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1" t="s">
        <v>0</v>
      </c>
    </row>
    <row r="7" spans="1:70" ht="18.75" customHeight="1">
      <c r="A7" s="13"/>
      <c r="B7" s="13"/>
      <c r="C7" s="13"/>
      <c r="D7" s="80"/>
      <c r="E7" s="23"/>
      <c r="F7" s="23"/>
      <c r="G7" s="23"/>
      <c r="H7" s="23"/>
      <c r="I7" s="23"/>
      <c r="J7" s="22"/>
      <c r="K7" s="22"/>
      <c r="L7" s="22"/>
      <c r="M7" s="22"/>
      <c r="N7" s="22"/>
      <c r="O7" s="198" t="s">
        <v>12</v>
      </c>
      <c r="P7" s="198"/>
      <c r="Q7" s="198"/>
      <c r="R7" s="22"/>
      <c r="S7" s="198" t="s">
        <v>435</v>
      </c>
      <c r="T7" s="198"/>
      <c r="U7" s="198"/>
      <c r="V7" s="22"/>
      <c r="W7" s="198" t="s">
        <v>13</v>
      </c>
      <c r="X7" s="198" t="s">
        <v>436</v>
      </c>
      <c r="Y7" s="198"/>
      <c r="Z7" s="24"/>
      <c r="AA7" s="24"/>
      <c r="AB7" s="24"/>
      <c r="AC7" s="22"/>
      <c r="AD7" s="22"/>
      <c r="AE7" s="22"/>
      <c r="AF7" s="22"/>
      <c r="AG7" s="22"/>
      <c r="AH7" s="13"/>
      <c r="AI7" s="200">
        <f>BQ2/30</f>
        <v>0</v>
      </c>
      <c r="AJ7" s="201">
        <f t="shared" ref="AJ7:BQ7" si="0">AI7+1</f>
        <v>1</v>
      </c>
      <c r="AK7" s="201">
        <f t="shared" si="0"/>
        <v>2</v>
      </c>
      <c r="AL7" s="201">
        <f t="shared" si="0"/>
        <v>3</v>
      </c>
      <c r="AM7" s="201">
        <f t="shared" si="0"/>
        <v>4</v>
      </c>
      <c r="AN7" s="201">
        <f t="shared" si="0"/>
        <v>5</v>
      </c>
      <c r="AO7" s="201">
        <f t="shared" si="0"/>
        <v>6</v>
      </c>
      <c r="AP7" s="201">
        <f t="shared" si="0"/>
        <v>7</v>
      </c>
      <c r="AQ7" s="201">
        <f t="shared" si="0"/>
        <v>8</v>
      </c>
      <c r="AR7" s="201">
        <f t="shared" si="0"/>
        <v>9</v>
      </c>
      <c r="AS7" s="201">
        <f t="shared" si="0"/>
        <v>10</v>
      </c>
      <c r="AT7" s="201">
        <f t="shared" si="0"/>
        <v>11</v>
      </c>
      <c r="AU7" s="201">
        <f t="shared" si="0"/>
        <v>12</v>
      </c>
      <c r="AV7" s="201">
        <f t="shared" si="0"/>
        <v>13</v>
      </c>
      <c r="AW7" s="201">
        <f t="shared" si="0"/>
        <v>14</v>
      </c>
      <c r="AX7" s="201">
        <f t="shared" si="0"/>
        <v>15</v>
      </c>
      <c r="AY7" s="201">
        <f t="shared" si="0"/>
        <v>16</v>
      </c>
      <c r="AZ7" s="201">
        <f t="shared" si="0"/>
        <v>17</v>
      </c>
      <c r="BA7" s="201">
        <f t="shared" si="0"/>
        <v>18</v>
      </c>
      <c r="BB7" s="201">
        <f t="shared" si="0"/>
        <v>19</v>
      </c>
      <c r="BC7" s="201">
        <f t="shared" si="0"/>
        <v>20</v>
      </c>
      <c r="BD7" s="201">
        <f t="shared" si="0"/>
        <v>21</v>
      </c>
      <c r="BE7" s="201">
        <f t="shared" si="0"/>
        <v>22</v>
      </c>
      <c r="BF7" s="201">
        <f t="shared" si="0"/>
        <v>23</v>
      </c>
      <c r="BG7" s="201">
        <f t="shared" si="0"/>
        <v>24</v>
      </c>
      <c r="BH7" s="201">
        <f t="shared" si="0"/>
        <v>25</v>
      </c>
      <c r="BI7" s="201">
        <f t="shared" si="0"/>
        <v>26</v>
      </c>
      <c r="BJ7" s="201">
        <f t="shared" si="0"/>
        <v>27</v>
      </c>
      <c r="BK7" s="201">
        <f t="shared" si="0"/>
        <v>28</v>
      </c>
      <c r="BL7" s="201">
        <f t="shared" si="0"/>
        <v>29</v>
      </c>
      <c r="BM7" s="201">
        <f t="shared" si="0"/>
        <v>30</v>
      </c>
      <c r="BN7" s="201">
        <f t="shared" si="0"/>
        <v>31</v>
      </c>
      <c r="BO7" s="201">
        <f t="shared" si="0"/>
        <v>32</v>
      </c>
      <c r="BP7" s="201">
        <f t="shared" si="0"/>
        <v>33</v>
      </c>
      <c r="BQ7" s="202">
        <f t="shared" si="0"/>
        <v>34</v>
      </c>
      <c r="BR7" s="11" t="s">
        <v>0</v>
      </c>
    </row>
    <row r="8" spans="1:70" ht="63.75" customHeight="1">
      <c r="A8" s="409" t="s">
        <v>15</v>
      </c>
      <c r="B8" s="416"/>
      <c r="C8" s="417"/>
      <c r="D8" s="408" t="s">
        <v>16</v>
      </c>
      <c r="E8" s="416"/>
      <c r="F8" s="416"/>
      <c r="G8" s="416"/>
      <c r="H8" s="416"/>
      <c r="I8" s="25" t="s">
        <v>17</v>
      </c>
      <c r="J8" s="203" t="s">
        <v>18</v>
      </c>
      <c r="K8" s="203" t="s">
        <v>19</v>
      </c>
      <c r="L8" s="200" t="s">
        <v>20</v>
      </c>
      <c r="M8" s="203" t="s">
        <v>21</v>
      </c>
      <c r="N8" s="22"/>
      <c r="O8" s="203" t="s">
        <v>23</v>
      </c>
      <c r="P8" s="203" t="s">
        <v>437</v>
      </c>
      <c r="Q8" s="203" t="s">
        <v>438</v>
      </c>
      <c r="R8" s="26"/>
      <c r="S8" s="203" t="s">
        <v>23</v>
      </c>
      <c r="T8" s="203" t="s">
        <v>24</v>
      </c>
      <c r="U8" s="203" t="s">
        <v>25</v>
      </c>
      <c r="V8" s="22"/>
      <c r="W8" s="203" t="s">
        <v>23</v>
      </c>
      <c r="X8" s="203" t="s">
        <v>26</v>
      </c>
      <c r="Y8" s="203" t="s">
        <v>27</v>
      </c>
      <c r="Z8" s="27"/>
      <c r="AA8" s="203" t="s">
        <v>32</v>
      </c>
      <c r="AB8" s="27"/>
      <c r="AC8" s="203" t="s">
        <v>28</v>
      </c>
      <c r="AD8" s="203" t="s">
        <v>29</v>
      </c>
      <c r="AE8" s="203" t="s">
        <v>30</v>
      </c>
      <c r="AF8" s="202" t="s">
        <v>31</v>
      </c>
      <c r="AG8" s="202" t="s">
        <v>32</v>
      </c>
      <c r="AH8" s="13"/>
      <c r="AI8" s="204">
        <f>DATE(YEAR(T27),MONTH(T27),BQ2)</f>
        <v>45016</v>
      </c>
      <c r="AJ8" s="205" cm="1">
        <f t="array" ref="AJ8">_xlfn.IFS($T$4 = "Monthly", EOMONTH(AI8, 1), $T$4 = "Weekly", AI8 + 7, $T$4 = "Bi-weekly", AI8 + 14)</f>
        <v>45046</v>
      </c>
      <c r="AK8" s="205" cm="1">
        <f t="array" ref="AK8">_xlfn.IFS($T$4 = "Monthly", EOMONTH(AJ8, 1), $T$4 = "Weekly", AJ8 + 7, $T$4 = "Bi-weekly", AJ8 + 14)</f>
        <v>45077</v>
      </c>
      <c r="AL8" s="205" cm="1">
        <f t="array" ref="AL8">_xlfn.IFS($T$4 = "Monthly", EOMONTH(AK8, 1), $T$4 = "Weekly", AK8 + 7, $T$4 = "Bi-weekly", AK8 + 14)</f>
        <v>45107</v>
      </c>
      <c r="AM8" s="205" cm="1">
        <f t="array" ref="AM8">_xlfn.IFS($T$4 = "Monthly", EOMONTH(AL8, 1), $T$4 = "Weekly", AL8 + 7, $T$4 = "Bi-weekly", AL8 + 14)</f>
        <v>45138</v>
      </c>
      <c r="AN8" s="205" cm="1">
        <f t="array" ref="AN8">_xlfn.IFS($T$4 = "Monthly", EOMONTH(AM8, 1), $T$4 = "Weekly", AM8 + 7, $T$4 = "Bi-weekly", AM8 + 14)</f>
        <v>45169</v>
      </c>
      <c r="AO8" s="205" cm="1">
        <f t="array" ref="AO8">_xlfn.IFS($T$4 = "Monthly", EOMONTH(AN8, 1), $T$4 = "Weekly", AN8 + 7, $T$4 = "Bi-weekly", AN8 + 14)</f>
        <v>45199</v>
      </c>
      <c r="AP8" s="205" cm="1">
        <f t="array" ref="AP8">_xlfn.IFS($T$4 = "Monthly", EOMONTH(AO8, 1), $T$4 = "Weekly", AO8 + 7, $T$4 = "Bi-weekly", AO8 + 14)</f>
        <v>45230</v>
      </c>
      <c r="AQ8" s="205" cm="1">
        <f t="array" ref="AQ8">_xlfn.IFS($T$4 = "Monthly", EOMONTH(AP8, 1), $T$4 = "Weekly", AP8 + 7, $T$4 = "Bi-weekly", AP8 + 14)</f>
        <v>45260</v>
      </c>
      <c r="AR8" s="205" cm="1">
        <f t="array" ref="AR8">_xlfn.IFS($T$4 = "Monthly", EOMONTH(AQ8, 1), $T$4 = "Weekly", AQ8 + 7, $T$4 = "Bi-weekly", AQ8 + 14)</f>
        <v>45291</v>
      </c>
      <c r="AS8" s="205" cm="1">
        <f t="array" ref="AS8">_xlfn.IFS($T$4 = "Monthly", EOMONTH(AR8, 1), $T$4 = "Weekly", AR8 + 7, $T$4 = "Bi-weekly", AR8 + 14)</f>
        <v>45322</v>
      </c>
      <c r="AT8" s="205" cm="1">
        <f t="array" ref="AT8">_xlfn.IFS($T$4 = "Monthly", EOMONTH(AS8, 1), $T$4 = "Weekly", AS8 + 7, $T$4 = "Bi-weekly", AS8 + 14)</f>
        <v>45351</v>
      </c>
      <c r="AU8" s="205" cm="1">
        <f t="array" ref="AU8">_xlfn.IFS($T$4 = "Monthly", EOMONTH(AT8, 1), $T$4 = "Weekly", AT8 + 7, $T$4 = "Bi-weekly", AT8 + 14)</f>
        <v>45382</v>
      </c>
      <c r="AV8" s="205" cm="1">
        <f t="array" ref="AV8">_xlfn.IFS($T$4 = "Monthly", EOMONTH(AU8, 1), $T$4 = "Weekly", AU8 + 7, $T$4 = "Bi-weekly", AU8 + 14)</f>
        <v>45412</v>
      </c>
      <c r="AW8" s="205" cm="1">
        <f t="array" ref="AW8">_xlfn.IFS($T$4 = "Monthly", EOMONTH(AV8, 1), $T$4 = "Weekly", AV8 + 7, $T$4 = "Bi-weekly", AV8 + 14)</f>
        <v>45443</v>
      </c>
      <c r="AX8" s="205" cm="1">
        <f t="array" ref="AX8">_xlfn.IFS($T$4 = "Monthly", EOMONTH(AW8, 1), $T$4 = "Weekly", AW8 + 7, $T$4 = "Bi-weekly", AW8 + 14)</f>
        <v>45473</v>
      </c>
      <c r="AY8" s="205" cm="1">
        <f t="array" ref="AY8">_xlfn.IFS($T$4 = "Monthly", EOMONTH(AX8, 1), $T$4 = "Weekly", AX8 + 7, $T$4 = "Bi-weekly", AX8 + 14)</f>
        <v>45504</v>
      </c>
      <c r="AZ8" s="205" cm="1">
        <f t="array" ref="AZ8">_xlfn.IFS($T$4 = "Monthly", EOMONTH(AY8, 1), $T$4 = "Weekly", AY8 + 7, $T$4 = "Bi-weekly", AY8 + 14)</f>
        <v>45535</v>
      </c>
      <c r="BA8" s="205" cm="1">
        <f t="array" ref="BA8">_xlfn.IFS($T$4 = "Monthly", EOMONTH(AZ8, 1), $T$4 = "Weekly", AZ8 + 7, $T$4 = "Bi-weekly", AZ8 + 14)</f>
        <v>45565</v>
      </c>
      <c r="BB8" s="205" cm="1">
        <f t="array" ref="BB8">_xlfn.IFS($T$4 = "Monthly", EOMONTH(BA8, 1), $T$4 = "Weekly", BA8 + 7, $T$4 = "Bi-weekly", BA8 + 14)</f>
        <v>45596</v>
      </c>
      <c r="BC8" s="205" cm="1">
        <f t="array" ref="BC8">_xlfn.IFS($T$4 = "Monthly", EOMONTH(BB8, 1), $T$4 = "Weekly", BB8 + 7, $T$4 = "Bi-weekly", BB8 + 14)</f>
        <v>45626</v>
      </c>
      <c r="BD8" s="205" cm="1">
        <f t="array" ref="BD8">_xlfn.IFS($T$4 = "Monthly", EOMONTH(BC8, 1), $T$4 = "Weekly", BC8 + 7, $T$4 = "Bi-weekly", BC8 + 14)</f>
        <v>45657</v>
      </c>
      <c r="BE8" s="205" cm="1">
        <f t="array" ref="BE8">_xlfn.IFS($T$4 = "Monthly", EOMONTH(BD8, 1), $T$4 = "Weekly", BD8 + 7, $T$4 = "Bi-weekly", BD8 + 14)</f>
        <v>45688</v>
      </c>
      <c r="BF8" s="205" cm="1">
        <f t="array" ref="BF8">_xlfn.IFS($T$4 = "Monthly", EOMONTH(BE8, 1), $T$4 = "Weekly", BE8 + 7, $T$4 = "Bi-weekly", BE8 + 14)</f>
        <v>45716</v>
      </c>
      <c r="BG8" s="205" cm="1">
        <f t="array" ref="BG8">_xlfn.IFS($T$4 = "Monthly", EOMONTH(BF8, 1), $T$4 = "Weekly", BF8 + 7, $T$4 = "Bi-weekly", BF8 + 14)</f>
        <v>45747</v>
      </c>
      <c r="BH8" s="205" cm="1">
        <f t="array" ref="BH8">_xlfn.IFS($T$4 = "Monthly", EOMONTH(BG8, 1), $T$4 = "Weekly", BG8 + 7, $T$4 = "Bi-weekly", BG8 + 14)</f>
        <v>45777</v>
      </c>
      <c r="BI8" s="205" cm="1">
        <f t="array" ref="BI8">_xlfn.IFS($T$4 = "Monthly", EOMONTH(BH8, 1), $T$4 = "Weekly", BH8 + 7, $T$4 = "Bi-weekly", BH8 + 14)</f>
        <v>45808</v>
      </c>
      <c r="BJ8" s="205" cm="1">
        <f t="array" ref="BJ8">_xlfn.IFS($T$4 = "Monthly", EOMONTH(BI8, 1), $T$4 = "Weekly", BI8 + 7, $T$4 = "Bi-weekly", BI8 + 14)</f>
        <v>45838</v>
      </c>
      <c r="BK8" s="205" cm="1">
        <f t="array" ref="BK8">_xlfn.IFS($T$4 = "Monthly", EOMONTH(BJ8, 1), $T$4 = "Weekly", BJ8 + 7, $T$4 = "Bi-weekly", BJ8 + 14)</f>
        <v>45869</v>
      </c>
      <c r="BL8" s="205" cm="1">
        <f t="array" ref="BL8">_xlfn.IFS($T$4 = "Monthly", EOMONTH(BK8, 1), $T$4 = "Weekly", BK8 + 7, $T$4 = "Bi-weekly", BK8 + 14)</f>
        <v>45900</v>
      </c>
      <c r="BM8" s="205" cm="1">
        <f t="array" ref="BM8">_xlfn.IFS($T$4 = "Monthly", EOMONTH(BL8, 1), $T$4 = "Weekly", BL8 + 7, $T$4 = "Bi-weekly", BL8 + 14)</f>
        <v>45930</v>
      </c>
      <c r="BN8" s="205" cm="1">
        <f t="array" ref="BN8">_xlfn.IFS($T$4 = "Monthly", EOMONTH(BM8, 1), $T$4 = "Weekly", BM8 + 7, $T$4 = "Bi-weekly", BM8 + 14)</f>
        <v>45961</v>
      </c>
      <c r="BO8" s="205" cm="1">
        <f t="array" ref="BO8">_xlfn.IFS($T$4 = "Monthly", EOMONTH(BN8, 1), $T$4 = "Weekly", BN8 + 7, $T$4 = "Bi-weekly", BN8 + 14)</f>
        <v>45991</v>
      </c>
      <c r="BP8" s="205" cm="1">
        <f t="array" ref="BP8">_xlfn.IFS($T$4 = "Monthly", EOMONTH(BO8, 1), $T$4 = "Weekly", BO8 + 7, $T$4 = "Bi-weekly", BO8 + 14)</f>
        <v>46022</v>
      </c>
      <c r="BQ8" s="206" cm="1">
        <f t="array" ref="BQ8">_xlfn.IFS($T$4 = "Monthly", EOMONTH(BP8, 1), $T$4 = "Weekly", BP8 + 7, $T$4 = "Bi-weekly", BP8 + 14)</f>
        <v>46053</v>
      </c>
      <c r="BR8" s="11"/>
    </row>
    <row r="9" spans="1:70" ht="22.5" customHeight="1">
      <c r="A9" s="285">
        <v>1</v>
      </c>
      <c r="B9" s="286"/>
      <c r="C9" s="287"/>
      <c r="D9" s="288" t="s">
        <v>439</v>
      </c>
      <c r="E9" s="211"/>
      <c r="F9" s="211"/>
      <c r="G9" s="211"/>
      <c r="H9" s="211"/>
      <c r="I9" s="212"/>
      <c r="J9" s="213"/>
      <c r="K9" s="289"/>
      <c r="L9" s="215"/>
      <c r="M9" s="214"/>
      <c r="N9" s="22"/>
      <c r="O9" s="214"/>
      <c r="P9" s="216"/>
      <c r="Q9" s="290"/>
      <c r="R9" s="22"/>
      <c r="S9" s="214">
        <f>IF(T9=0,"",U9-T9)</f>
        <v>455</v>
      </c>
      <c r="T9" s="216">
        <f>MIN(T12:T15)</f>
        <v>45047</v>
      </c>
      <c r="U9" s="216">
        <f>MAX(U12:U15)</f>
        <v>45502</v>
      </c>
      <c r="V9" s="22"/>
      <c r="W9" s="214"/>
      <c r="X9" s="216"/>
      <c r="Y9" s="216"/>
      <c r="Z9" s="24"/>
      <c r="AA9" s="213"/>
      <c r="AB9" s="24"/>
      <c r="AC9" s="217"/>
      <c r="AD9" s="213"/>
      <c r="AE9" s="213"/>
      <c r="AF9" s="218"/>
      <c r="AG9" s="218"/>
      <c r="AH9" s="28"/>
      <c r="AI9" s="291" t="str">
        <f t="shared" ref="AI9:BQ9" si="1">IFERROR(IF(AND($T9&gt;=(EOMONTH(AI$8,-1)+1),$U9&lt;AJ$8,$I9="M"),"u",""),"")</f>
        <v/>
      </c>
      <c r="AJ9" s="81" t="str">
        <f t="shared" si="1"/>
        <v/>
      </c>
      <c r="AK9" s="81" t="str">
        <f t="shared" si="1"/>
        <v/>
      </c>
      <c r="AL9" s="81" t="str">
        <f t="shared" si="1"/>
        <v/>
      </c>
      <c r="AM9" s="81" t="str">
        <f t="shared" si="1"/>
        <v/>
      </c>
      <c r="AN9" s="81" t="str">
        <f t="shared" si="1"/>
        <v/>
      </c>
      <c r="AO9" s="81" t="str">
        <f t="shared" si="1"/>
        <v/>
      </c>
      <c r="AP9" s="81" t="str">
        <f t="shared" si="1"/>
        <v/>
      </c>
      <c r="AQ9" s="81" t="str">
        <f t="shared" si="1"/>
        <v/>
      </c>
      <c r="AR9" s="81" t="str">
        <f t="shared" si="1"/>
        <v/>
      </c>
      <c r="AS9" s="81" t="str">
        <f t="shared" si="1"/>
        <v/>
      </c>
      <c r="AT9" s="81" t="str">
        <f t="shared" si="1"/>
        <v/>
      </c>
      <c r="AU9" s="81" t="str">
        <f t="shared" si="1"/>
        <v/>
      </c>
      <c r="AV9" s="81" t="str">
        <f t="shared" si="1"/>
        <v/>
      </c>
      <c r="AW9" s="81" t="str">
        <f t="shared" si="1"/>
        <v/>
      </c>
      <c r="AX9" s="81" t="str">
        <f t="shared" si="1"/>
        <v/>
      </c>
      <c r="AY9" s="81" t="str">
        <f t="shared" si="1"/>
        <v/>
      </c>
      <c r="AZ9" s="81" t="str">
        <f t="shared" si="1"/>
        <v/>
      </c>
      <c r="BA9" s="81" t="str">
        <f t="shared" si="1"/>
        <v/>
      </c>
      <c r="BB9" s="81" t="str">
        <f t="shared" si="1"/>
        <v/>
      </c>
      <c r="BC9" s="81" t="str">
        <f t="shared" si="1"/>
        <v/>
      </c>
      <c r="BD9" s="81" t="str">
        <f t="shared" si="1"/>
        <v/>
      </c>
      <c r="BE9" s="81" t="str">
        <f t="shared" si="1"/>
        <v/>
      </c>
      <c r="BF9" s="81" t="str">
        <f t="shared" si="1"/>
        <v/>
      </c>
      <c r="BG9" s="81" t="str">
        <f t="shared" si="1"/>
        <v/>
      </c>
      <c r="BH9" s="81" t="str">
        <f t="shared" si="1"/>
        <v/>
      </c>
      <c r="BI9" s="81" t="str">
        <f t="shared" si="1"/>
        <v/>
      </c>
      <c r="BJ9" s="81" t="str">
        <f t="shared" si="1"/>
        <v/>
      </c>
      <c r="BK9" s="81" t="str">
        <f t="shared" si="1"/>
        <v/>
      </c>
      <c r="BL9" s="81" t="str">
        <f t="shared" si="1"/>
        <v/>
      </c>
      <c r="BM9" s="81" t="str">
        <f t="shared" si="1"/>
        <v/>
      </c>
      <c r="BN9" s="81" t="str">
        <f t="shared" si="1"/>
        <v/>
      </c>
      <c r="BO9" s="81" t="str">
        <f t="shared" si="1"/>
        <v/>
      </c>
      <c r="BP9" s="81" t="str">
        <f t="shared" si="1"/>
        <v/>
      </c>
      <c r="BQ9" s="82" t="str">
        <f t="shared" si="1"/>
        <v/>
      </c>
      <c r="BR9" s="11" t="s">
        <v>0</v>
      </c>
    </row>
    <row r="10" spans="1:70" ht="19.5" customHeight="1">
      <c r="A10" s="292">
        <v>1.1000000000000001</v>
      </c>
      <c r="B10" s="293"/>
      <c r="C10" s="294"/>
      <c r="D10" s="295"/>
      <c r="E10" s="296" t="s">
        <v>440</v>
      </c>
      <c r="F10" s="296"/>
      <c r="G10" s="296"/>
      <c r="H10" s="296"/>
      <c r="I10" s="297"/>
      <c r="J10" s="298" t="s">
        <v>441</v>
      </c>
      <c r="K10" s="299" t="s">
        <v>442</v>
      </c>
      <c r="L10" s="300" t="s">
        <v>443</v>
      </c>
      <c r="M10" s="301"/>
      <c r="N10" s="22"/>
      <c r="O10" s="32"/>
      <c r="P10" s="31"/>
      <c r="Q10" s="31"/>
      <c r="R10" s="22"/>
      <c r="S10" s="32"/>
      <c r="T10" s="31"/>
      <c r="U10" s="31"/>
      <c r="V10" s="22"/>
      <c r="W10" s="32"/>
      <c r="X10" s="302"/>
      <c r="Y10" s="302"/>
      <c r="Z10" s="303"/>
      <c r="AA10" s="304"/>
      <c r="AB10" s="303"/>
      <c r="AC10" s="304"/>
      <c r="AD10" s="304"/>
      <c r="AE10" s="304"/>
      <c r="AF10" s="305"/>
      <c r="AG10" s="305"/>
      <c r="AH10" s="47"/>
      <c r="AI10" s="306" t="str">
        <f t="shared" ref="AI10:BQ10" si="2">IFERROR(IF(AND($T10&gt;=(EOMONTH(AI$8,-1)+1),$U10&lt;AJ$8,$I10="M"),"u",""),"")</f>
        <v/>
      </c>
      <c r="AJ10" s="81" t="str">
        <f t="shared" si="2"/>
        <v/>
      </c>
      <c r="AK10" s="81" t="str">
        <f t="shared" si="2"/>
        <v/>
      </c>
      <c r="AL10" s="81" t="str">
        <f t="shared" si="2"/>
        <v/>
      </c>
      <c r="AM10" s="81" t="str">
        <f t="shared" si="2"/>
        <v/>
      </c>
      <c r="AN10" s="81" t="str">
        <f t="shared" si="2"/>
        <v/>
      </c>
      <c r="AO10" s="81" t="str">
        <f t="shared" si="2"/>
        <v/>
      </c>
      <c r="AP10" s="81" t="str">
        <f t="shared" si="2"/>
        <v/>
      </c>
      <c r="AQ10" s="81" t="str">
        <f t="shared" si="2"/>
        <v/>
      </c>
      <c r="AR10" s="81" t="str">
        <f t="shared" si="2"/>
        <v/>
      </c>
      <c r="AS10" s="81" t="str">
        <f t="shared" si="2"/>
        <v/>
      </c>
      <c r="AT10" s="81" t="str">
        <f t="shared" si="2"/>
        <v/>
      </c>
      <c r="AU10" s="81" t="str">
        <f t="shared" si="2"/>
        <v/>
      </c>
      <c r="AV10" s="81" t="str">
        <f t="shared" si="2"/>
        <v/>
      </c>
      <c r="AW10" s="81" t="str">
        <f t="shared" si="2"/>
        <v/>
      </c>
      <c r="AX10" s="81" t="str">
        <f t="shared" si="2"/>
        <v/>
      </c>
      <c r="AY10" s="81" t="str">
        <f t="shared" si="2"/>
        <v/>
      </c>
      <c r="AZ10" s="81" t="str">
        <f t="shared" si="2"/>
        <v/>
      </c>
      <c r="BA10" s="81" t="str">
        <f t="shared" si="2"/>
        <v/>
      </c>
      <c r="BB10" s="81" t="str">
        <f t="shared" si="2"/>
        <v/>
      </c>
      <c r="BC10" s="81" t="str">
        <f t="shared" si="2"/>
        <v/>
      </c>
      <c r="BD10" s="81" t="str">
        <f t="shared" si="2"/>
        <v/>
      </c>
      <c r="BE10" s="81" t="str">
        <f t="shared" si="2"/>
        <v/>
      </c>
      <c r="BF10" s="81" t="str">
        <f t="shared" si="2"/>
        <v/>
      </c>
      <c r="BG10" s="81" t="str">
        <f t="shared" si="2"/>
        <v/>
      </c>
      <c r="BH10" s="81" t="str">
        <f t="shared" si="2"/>
        <v/>
      </c>
      <c r="BI10" s="81" t="str">
        <f t="shared" si="2"/>
        <v/>
      </c>
      <c r="BJ10" s="81" t="str">
        <f t="shared" si="2"/>
        <v/>
      </c>
      <c r="BK10" s="81" t="str">
        <f t="shared" si="2"/>
        <v/>
      </c>
      <c r="BL10" s="81" t="str">
        <f t="shared" si="2"/>
        <v/>
      </c>
      <c r="BM10" s="81" t="str">
        <f t="shared" si="2"/>
        <v/>
      </c>
      <c r="BN10" s="81" t="str">
        <f t="shared" si="2"/>
        <v/>
      </c>
      <c r="BO10" s="81" t="str">
        <f t="shared" si="2"/>
        <v/>
      </c>
      <c r="BP10" s="81" t="str">
        <f t="shared" si="2"/>
        <v/>
      </c>
      <c r="BQ10" s="82" t="str">
        <f t="shared" si="2"/>
        <v/>
      </c>
      <c r="BR10" s="11"/>
    </row>
    <row r="11" spans="1:70" ht="19.5" customHeight="1">
      <c r="A11" s="292">
        <v>1.2</v>
      </c>
      <c r="B11" s="293"/>
      <c r="C11" s="294"/>
      <c r="D11" s="295"/>
      <c r="E11" s="296" t="s">
        <v>444</v>
      </c>
      <c r="F11" s="296"/>
      <c r="G11" s="296"/>
      <c r="H11" s="296"/>
      <c r="I11" s="297"/>
      <c r="J11" s="298" t="s">
        <v>445</v>
      </c>
      <c r="K11" s="299" t="s">
        <v>446</v>
      </c>
      <c r="L11" s="300" t="s">
        <v>443</v>
      </c>
      <c r="M11" s="301"/>
      <c r="N11" s="22"/>
      <c r="O11" s="32"/>
      <c r="P11" s="31"/>
      <c r="Q11" s="31"/>
      <c r="R11" s="22"/>
      <c r="S11" s="32"/>
      <c r="T11" s="31"/>
      <c r="U11" s="31"/>
      <c r="V11" s="22"/>
      <c r="W11" s="32"/>
      <c r="X11" s="302"/>
      <c r="Y11" s="302"/>
      <c r="Z11" s="303"/>
      <c r="AA11" s="304"/>
      <c r="AB11" s="303"/>
      <c r="AC11" s="304"/>
      <c r="AD11" s="304"/>
      <c r="AE11" s="304"/>
      <c r="AF11" s="305"/>
      <c r="AG11" s="305"/>
      <c r="AH11" s="47"/>
      <c r="AI11" s="306" t="str">
        <f t="shared" ref="AI11:BQ11" si="3">IFERROR(IF(AND($T11&gt;=(EOMONTH(AI$8,-1)+1),$U11&lt;AJ$8,$I11="M"),"u",""),"")</f>
        <v/>
      </c>
      <c r="AJ11" s="81" t="str">
        <f t="shared" si="3"/>
        <v/>
      </c>
      <c r="AK11" s="81" t="str">
        <f t="shared" si="3"/>
        <v/>
      </c>
      <c r="AL11" s="81" t="str">
        <f t="shared" si="3"/>
        <v/>
      </c>
      <c r="AM11" s="81" t="str">
        <f t="shared" si="3"/>
        <v/>
      </c>
      <c r="AN11" s="81" t="str">
        <f t="shared" si="3"/>
        <v/>
      </c>
      <c r="AO11" s="81" t="str">
        <f t="shared" si="3"/>
        <v/>
      </c>
      <c r="AP11" s="81" t="str">
        <f t="shared" si="3"/>
        <v/>
      </c>
      <c r="AQ11" s="81" t="str">
        <f t="shared" si="3"/>
        <v/>
      </c>
      <c r="AR11" s="81" t="str">
        <f t="shared" si="3"/>
        <v/>
      </c>
      <c r="AS11" s="81" t="str">
        <f t="shared" si="3"/>
        <v/>
      </c>
      <c r="AT11" s="81" t="str">
        <f t="shared" si="3"/>
        <v/>
      </c>
      <c r="AU11" s="81" t="str">
        <f t="shared" si="3"/>
        <v/>
      </c>
      <c r="AV11" s="81" t="str">
        <f t="shared" si="3"/>
        <v/>
      </c>
      <c r="AW11" s="81" t="str">
        <f t="shared" si="3"/>
        <v/>
      </c>
      <c r="AX11" s="81" t="str">
        <f t="shared" si="3"/>
        <v/>
      </c>
      <c r="AY11" s="81" t="str">
        <f t="shared" si="3"/>
        <v/>
      </c>
      <c r="AZ11" s="81" t="str">
        <f t="shared" si="3"/>
        <v/>
      </c>
      <c r="BA11" s="81" t="str">
        <f t="shared" si="3"/>
        <v/>
      </c>
      <c r="BB11" s="81" t="str">
        <f t="shared" si="3"/>
        <v/>
      </c>
      <c r="BC11" s="81" t="str">
        <f t="shared" si="3"/>
        <v/>
      </c>
      <c r="BD11" s="81" t="str">
        <f t="shared" si="3"/>
        <v/>
      </c>
      <c r="BE11" s="81" t="str">
        <f t="shared" si="3"/>
        <v/>
      </c>
      <c r="BF11" s="81" t="str">
        <f t="shared" si="3"/>
        <v/>
      </c>
      <c r="BG11" s="81" t="str">
        <f t="shared" si="3"/>
        <v/>
      </c>
      <c r="BH11" s="81" t="str">
        <f t="shared" si="3"/>
        <v/>
      </c>
      <c r="BI11" s="81" t="str">
        <f t="shared" si="3"/>
        <v/>
      </c>
      <c r="BJ11" s="81" t="str">
        <f t="shared" si="3"/>
        <v/>
      </c>
      <c r="BK11" s="81" t="str">
        <f t="shared" si="3"/>
        <v/>
      </c>
      <c r="BL11" s="81" t="str">
        <f t="shared" si="3"/>
        <v/>
      </c>
      <c r="BM11" s="81" t="str">
        <f t="shared" si="3"/>
        <v/>
      </c>
      <c r="BN11" s="81" t="str">
        <f t="shared" si="3"/>
        <v/>
      </c>
      <c r="BO11" s="81" t="str">
        <f t="shared" si="3"/>
        <v/>
      </c>
      <c r="BP11" s="81" t="str">
        <f t="shared" si="3"/>
        <v/>
      </c>
      <c r="BQ11" s="82" t="str">
        <f t="shared" si="3"/>
        <v/>
      </c>
      <c r="BR11" s="11"/>
    </row>
    <row r="12" spans="1:70" ht="19.5" customHeight="1">
      <c r="A12" s="307">
        <v>1.3</v>
      </c>
      <c r="B12" s="83"/>
      <c r="C12" s="84"/>
      <c r="D12" s="85"/>
      <c r="E12" s="35" t="s">
        <v>447</v>
      </c>
      <c r="F12" s="35"/>
      <c r="G12" s="35"/>
      <c r="H12" s="35"/>
      <c r="I12" s="38"/>
      <c r="J12" s="86" t="s">
        <v>448</v>
      </c>
      <c r="K12" s="87" t="s">
        <v>449</v>
      </c>
      <c r="L12" s="249" t="s">
        <v>450</v>
      </c>
      <c r="M12" s="32"/>
      <c r="N12" s="22"/>
      <c r="O12" s="32">
        <f t="shared" ref="O12:O13" ca="1" si="4">NETWORKDAYS(P12,Q12)</f>
        <v>669</v>
      </c>
      <c r="P12" s="31">
        <f>X12</f>
        <v>45092</v>
      </c>
      <c r="Q12" s="31">
        <f ca="1">TODAY()</f>
        <v>46028</v>
      </c>
      <c r="R12" s="22"/>
      <c r="S12" s="32">
        <v>45</v>
      </c>
      <c r="T12" s="31">
        <v>45092</v>
      </c>
      <c r="U12" s="31">
        <f t="shared" ref="U12:U13" si="5">IF(S12&lt;&gt;"",WORKDAY(T12,S12-1),"")</f>
        <v>45154</v>
      </c>
      <c r="V12" s="22"/>
      <c r="W12" s="32">
        <f t="shared" ref="W12:W13" ca="1" si="6">NETWORKDAYS(X12,Y12)</f>
        <v>669</v>
      </c>
      <c r="X12" s="31">
        <v>45092</v>
      </c>
      <c r="Y12" s="31">
        <f ca="1">TODAY()</f>
        <v>46028</v>
      </c>
      <c r="Z12" s="24"/>
      <c r="AA12" s="46"/>
      <c r="AB12" s="24"/>
      <c r="AC12" s="46" t="e">
        <f>#REF!</f>
        <v>#REF!</v>
      </c>
      <c r="AD12" s="46"/>
      <c r="AE12" s="46"/>
      <c r="AF12" s="88"/>
      <c r="AG12" s="88"/>
      <c r="AH12" s="47"/>
      <c r="AI12" s="306" t="str">
        <f t="shared" ref="AI12:BQ12" si="7">IFERROR(IF(AND($T12&gt;=(EOMONTH(AI$8,-1)+1),$U12&lt;AJ$8,$I12="M"),"u",""),"")</f>
        <v/>
      </c>
      <c r="AJ12" s="81" t="str">
        <f t="shared" si="7"/>
        <v/>
      </c>
      <c r="AK12" s="81" t="str">
        <f t="shared" si="7"/>
        <v/>
      </c>
      <c r="AL12" s="81" t="str">
        <f t="shared" si="7"/>
        <v/>
      </c>
      <c r="AM12" s="81" t="str">
        <f t="shared" si="7"/>
        <v/>
      </c>
      <c r="AN12" s="81" t="str">
        <f t="shared" si="7"/>
        <v/>
      </c>
      <c r="AO12" s="81" t="str">
        <f t="shared" si="7"/>
        <v/>
      </c>
      <c r="AP12" s="81" t="str">
        <f t="shared" si="7"/>
        <v/>
      </c>
      <c r="AQ12" s="81" t="str">
        <f t="shared" si="7"/>
        <v/>
      </c>
      <c r="AR12" s="81" t="str">
        <f t="shared" si="7"/>
        <v/>
      </c>
      <c r="AS12" s="81" t="str">
        <f t="shared" si="7"/>
        <v/>
      </c>
      <c r="AT12" s="81" t="str">
        <f t="shared" si="7"/>
        <v/>
      </c>
      <c r="AU12" s="81" t="str">
        <f t="shared" si="7"/>
        <v/>
      </c>
      <c r="AV12" s="81" t="str">
        <f t="shared" si="7"/>
        <v/>
      </c>
      <c r="AW12" s="81" t="str">
        <f t="shared" si="7"/>
        <v/>
      </c>
      <c r="AX12" s="81" t="str">
        <f t="shared" si="7"/>
        <v/>
      </c>
      <c r="AY12" s="81" t="str">
        <f t="shared" si="7"/>
        <v/>
      </c>
      <c r="AZ12" s="81" t="str">
        <f t="shared" si="7"/>
        <v/>
      </c>
      <c r="BA12" s="81" t="str">
        <f t="shared" si="7"/>
        <v/>
      </c>
      <c r="BB12" s="81" t="str">
        <f t="shared" si="7"/>
        <v/>
      </c>
      <c r="BC12" s="81" t="str">
        <f t="shared" si="7"/>
        <v/>
      </c>
      <c r="BD12" s="81" t="str">
        <f t="shared" si="7"/>
        <v/>
      </c>
      <c r="BE12" s="81" t="str">
        <f t="shared" si="7"/>
        <v/>
      </c>
      <c r="BF12" s="81" t="str">
        <f t="shared" si="7"/>
        <v/>
      </c>
      <c r="BG12" s="81" t="str">
        <f t="shared" si="7"/>
        <v/>
      </c>
      <c r="BH12" s="81" t="str">
        <f t="shared" si="7"/>
        <v/>
      </c>
      <c r="BI12" s="81" t="str">
        <f t="shared" si="7"/>
        <v/>
      </c>
      <c r="BJ12" s="81" t="str">
        <f t="shared" si="7"/>
        <v/>
      </c>
      <c r="BK12" s="81" t="str">
        <f t="shared" si="7"/>
        <v/>
      </c>
      <c r="BL12" s="81" t="str">
        <f t="shared" si="7"/>
        <v/>
      </c>
      <c r="BM12" s="81" t="str">
        <f t="shared" si="7"/>
        <v/>
      </c>
      <c r="BN12" s="81" t="str">
        <f t="shared" si="7"/>
        <v/>
      </c>
      <c r="BO12" s="81" t="str">
        <f t="shared" si="7"/>
        <v/>
      </c>
      <c r="BP12" s="81" t="str">
        <f t="shared" si="7"/>
        <v/>
      </c>
      <c r="BQ12" s="82" t="str">
        <f t="shared" si="7"/>
        <v/>
      </c>
      <c r="BR12" s="11" t="s">
        <v>0</v>
      </c>
    </row>
    <row r="13" spans="1:70" ht="19.5" customHeight="1">
      <c r="A13" s="307">
        <v>1.4</v>
      </c>
      <c r="B13" s="83"/>
      <c r="C13" s="84"/>
      <c r="D13" s="85"/>
      <c r="E13" s="35" t="s">
        <v>451</v>
      </c>
      <c r="F13" s="35"/>
      <c r="G13" s="35"/>
      <c r="H13" s="35"/>
      <c r="I13" s="38"/>
      <c r="J13" s="86" t="s">
        <v>452</v>
      </c>
      <c r="K13" s="87" t="s">
        <v>453</v>
      </c>
      <c r="L13" s="249" t="s">
        <v>454</v>
      </c>
      <c r="M13" s="32"/>
      <c r="N13" s="22"/>
      <c r="O13" s="32">
        <f t="shared" si="4"/>
        <v>1</v>
      </c>
      <c r="P13" s="31">
        <f>P12</f>
        <v>45092</v>
      </c>
      <c r="Q13" s="31">
        <f>P13</f>
        <v>45092</v>
      </c>
      <c r="R13" s="22"/>
      <c r="S13" s="32">
        <v>1</v>
      </c>
      <c r="T13" s="31">
        <v>45092</v>
      </c>
      <c r="U13" s="31">
        <f t="shared" si="5"/>
        <v>45092</v>
      </c>
      <c r="V13" s="22"/>
      <c r="W13" s="32">
        <f t="shared" si="6"/>
        <v>1</v>
      </c>
      <c r="X13" s="31">
        <f>X12</f>
        <v>45092</v>
      </c>
      <c r="Y13" s="31">
        <f>X13</f>
        <v>45092</v>
      </c>
      <c r="Z13" s="24"/>
      <c r="AA13" s="46"/>
      <c r="AB13" s="24"/>
      <c r="AC13" s="46">
        <v>1</v>
      </c>
      <c r="AD13" s="46"/>
      <c r="AE13" s="46"/>
      <c r="AF13" s="88"/>
      <c r="AG13" s="88"/>
      <c r="AH13" s="47"/>
      <c r="AI13" s="306" t="str">
        <f t="shared" ref="AI13:BQ13" si="8">IFERROR(IF(AND($T13&gt;=(EOMONTH(AI$8,-1)+1),$U13&lt;AJ$8,$I13="M"),"u",""),"")</f>
        <v/>
      </c>
      <c r="AJ13" s="81" t="str">
        <f t="shared" si="8"/>
        <v/>
      </c>
      <c r="AK13" s="81" t="str">
        <f t="shared" si="8"/>
        <v/>
      </c>
      <c r="AL13" s="81" t="str">
        <f t="shared" si="8"/>
        <v/>
      </c>
      <c r="AM13" s="81" t="str">
        <f t="shared" si="8"/>
        <v/>
      </c>
      <c r="AN13" s="81" t="str">
        <f t="shared" si="8"/>
        <v/>
      </c>
      <c r="AO13" s="81" t="str">
        <f t="shared" si="8"/>
        <v/>
      </c>
      <c r="AP13" s="81" t="str">
        <f t="shared" si="8"/>
        <v/>
      </c>
      <c r="AQ13" s="81" t="str">
        <f t="shared" si="8"/>
        <v/>
      </c>
      <c r="AR13" s="81" t="str">
        <f t="shared" si="8"/>
        <v/>
      </c>
      <c r="AS13" s="81" t="str">
        <f t="shared" si="8"/>
        <v/>
      </c>
      <c r="AT13" s="81" t="str">
        <f t="shared" si="8"/>
        <v/>
      </c>
      <c r="AU13" s="81" t="str">
        <f t="shared" si="8"/>
        <v/>
      </c>
      <c r="AV13" s="81" t="str">
        <f t="shared" si="8"/>
        <v/>
      </c>
      <c r="AW13" s="81" t="str">
        <f t="shared" si="8"/>
        <v/>
      </c>
      <c r="AX13" s="81" t="str">
        <f t="shared" si="8"/>
        <v/>
      </c>
      <c r="AY13" s="81" t="str">
        <f t="shared" si="8"/>
        <v/>
      </c>
      <c r="AZ13" s="81" t="str">
        <f t="shared" si="8"/>
        <v/>
      </c>
      <c r="BA13" s="81" t="str">
        <f t="shared" si="8"/>
        <v/>
      </c>
      <c r="BB13" s="81" t="str">
        <f t="shared" si="8"/>
        <v/>
      </c>
      <c r="BC13" s="81" t="str">
        <f t="shared" si="8"/>
        <v/>
      </c>
      <c r="BD13" s="81" t="str">
        <f t="shared" si="8"/>
        <v/>
      </c>
      <c r="BE13" s="81" t="str">
        <f t="shared" si="8"/>
        <v/>
      </c>
      <c r="BF13" s="81" t="str">
        <f t="shared" si="8"/>
        <v/>
      </c>
      <c r="BG13" s="81" t="str">
        <f t="shared" si="8"/>
        <v/>
      </c>
      <c r="BH13" s="81" t="str">
        <f t="shared" si="8"/>
        <v/>
      </c>
      <c r="BI13" s="81" t="str">
        <f t="shared" si="8"/>
        <v/>
      </c>
      <c r="BJ13" s="81" t="str">
        <f t="shared" si="8"/>
        <v/>
      </c>
      <c r="BK13" s="81" t="str">
        <f t="shared" si="8"/>
        <v/>
      </c>
      <c r="BL13" s="81" t="str">
        <f t="shared" si="8"/>
        <v/>
      </c>
      <c r="BM13" s="81" t="str">
        <f t="shared" si="8"/>
        <v/>
      </c>
      <c r="BN13" s="81" t="str">
        <f t="shared" si="8"/>
        <v/>
      </c>
      <c r="BO13" s="81" t="str">
        <f t="shared" si="8"/>
        <v/>
      </c>
      <c r="BP13" s="81" t="str">
        <f t="shared" si="8"/>
        <v/>
      </c>
      <c r="BQ13" s="82" t="str">
        <f t="shared" si="8"/>
        <v/>
      </c>
      <c r="BR13" s="11" t="s">
        <v>0</v>
      </c>
    </row>
    <row r="14" spans="1:70" ht="19.5" customHeight="1">
      <c r="A14" s="292">
        <v>1.5</v>
      </c>
      <c r="B14" s="293"/>
      <c r="C14" s="294"/>
      <c r="D14" s="295"/>
      <c r="E14" s="296" t="s">
        <v>455</v>
      </c>
      <c r="F14" s="296"/>
      <c r="G14" s="296"/>
      <c r="H14" s="296"/>
      <c r="I14" s="297"/>
      <c r="J14" s="298"/>
      <c r="K14" s="299"/>
      <c r="L14" s="300"/>
      <c r="M14" s="301"/>
      <c r="N14" s="22"/>
      <c r="O14" s="32"/>
      <c r="P14" s="31"/>
      <c r="Q14" s="31"/>
      <c r="R14" s="22"/>
      <c r="S14" s="32"/>
      <c r="T14" s="31"/>
      <c r="U14" s="31"/>
      <c r="V14" s="22"/>
      <c r="W14" s="32"/>
      <c r="X14" s="302"/>
      <c r="Y14" s="302"/>
      <c r="Z14" s="303"/>
      <c r="AA14" s="304"/>
      <c r="AB14" s="303"/>
      <c r="AC14" s="304"/>
      <c r="AD14" s="304"/>
      <c r="AE14" s="304"/>
      <c r="AF14" s="305"/>
      <c r="AG14" s="305"/>
      <c r="AH14" s="47"/>
      <c r="AI14" s="306" t="str">
        <f t="shared" ref="AI14:BQ14" si="9">IFERROR(IF(AND($T14&gt;=(EOMONTH(AI$8,-1)+1),$U14&lt;AJ$8,$I14="M"),"u",""),"")</f>
        <v/>
      </c>
      <c r="AJ14" s="81" t="str">
        <f t="shared" si="9"/>
        <v/>
      </c>
      <c r="AK14" s="81" t="str">
        <f t="shared" si="9"/>
        <v/>
      </c>
      <c r="AL14" s="81" t="str">
        <f t="shared" si="9"/>
        <v/>
      </c>
      <c r="AM14" s="81" t="str">
        <f t="shared" si="9"/>
        <v/>
      </c>
      <c r="AN14" s="81" t="str">
        <f t="shared" si="9"/>
        <v/>
      </c>
      <c r="AO14" s="81" t="str">
        <f t="shared" si="9"/>
        <v/>
      </c>
      <c r="AP14" s="81" t="str">
        <f t="shared" si="9"/>
        <v/>
      </c>
      <c r="AQ14" s="81" t="str">
        <f t="shared" si="9"/>
        <v/>
      </c>
      <c r="AR14" s="81" t="str">
        <f t="shared" si="9"/>
        <v/>
      </c>
      <c r="AS14" s="81" t="str">
        <f t="shared" si="9"/>
        <v/>
      </c>
      <c r="AT14" s="81" t="str">
        <f t="shared" si="9"/>
        <v/>
      </c>
      <c r="AU14" s="81" t="str">
        <f t="shared" si="9"/>
        <v/>
      </c>
      <c r="AV14" s="81" t="str">
        <f t="shared" si="9"/>
        <v/>
      </c>
      <c r="AW14" s="81" t="str">
        <f t="shared" si="9"/>
        <v/>
      </c>
      <c r="AX14" s="81" t="str">
        <f t="shared" si="9"/>
        <v/>
      </c>
      <c r="AY14" s="81" t="str">
        <f t="shared" si="9"/>
        <v/>
      </c>
      <c r="AZ14" s="81" t="str">
        <f t="shared" si="9"/>
        <v/>
      </c>
      <c r="BA14" s="81" t="str">
        <f t="shared" si="9"/>
        <v/>
      </c>
      <c r="BB14" s="81" t="str">
        <f t="shared" si="9"/>
        <v/>
      </c>
      <c r="BC14" s="81" t="str">
        <f t="shared" si="9"/>
        <v/>
      </c>
      <c r="BD14" s="81" t="str">
        <f t="shared" si="9"/>
        <v/>
      </c>
      <c r="BE14" s="81" t="str">
        <f t="shared" si="9"/>
        <v/>
      </c>
      <c r="BF14" s="81" t="str">
        <f t="shared" si="9"/>
        <v/>
      </c>
      <c r="BG14" s="81" t="str">
        <f t="shared" si="9"/>
        <v/>
      </c>
      <c r="BH14" s="81" t="str">
        <f t="shared" si="9"/>
        <v/>
      </c>
      <c r="BI14" s="81" t="str">
        <f t="shared" si="9"/>
        <v/>
      </c>
      <c r="BJ14" s="81" t="str">
        <f t="shared" si="9"/>
        <v/>
      </c>
      <c r="BK14" s="81" t="str">
        <f t="shared" si="9"/>
        <v/>
      </c>
      <c r="BL14" s="81" t="str">
        <f t="shared" si="9"/>
        <v/>
      </c>
      <c r="BM14" s="81" t="str">
        <f t="shared" si="9"/>
        <v/>
      </c>
      <c r="BN14" s="81" t="str">
        <f t="shared" si="9"/>
        <v/>
      </c>
      <c r="BO14" s="81" t="str">
        <f t="shared" si="9"/>
        <v/>
      </c>
      <c r="BP14" s="81" t="str">
        <f t="shared" si="9"/>
        <v/>
      </c>
      <c r="BQ14" s="82" t="str">
        <f t="shared" si="9"/>
        <v/>
      </c>
      <c r="BR14" s="11"/>
    </row>
    <row r="15" spans="1:70" ht="19.5" customHeight="1">
      <c r="A15" s="307">
        <v>1.6</v>
      </c>
      <c r="B15" s="83"/>
      <c r="C15" s="84"/>
      <c r="D15" s="85"/>
      <c r="E15" s="35" t="s">
        <v>456</v>
      </c>
      <c r="F15" s="35"/>
      <c r="G15" s="35"/>
      <c r="H15" s="35"/>
      <c r="I15" s="38" t="s">
        <v>457</v>
      </c>
      <c r="J15" s="86"/>
      <c r="K15" s="87" t="s">
        <v>458</v>
      </c>
      <c r="L15" s="249" t="s">
        <v>459</v>
      </c>
      <c r="M15" s="32"/>
      <c r="N15" s="22"/>
      <c r="O15" s="32">
        <f>NETWORKDAYS(P15,Q15)</f>
        <v>412</v>
      </c>
      <c r="P15" s="31">
        <f>MIN(P17:P26)</f>
        <v>45047</v>
      </c>
      <c r="Q15" s="31">
        <f>MAX(Q17:Q26)</f>
        <v>45622</v>
      </c>
      <c r="R15" s="22"/>
      <c r="S15" s="32">
        <f>U15-T15</f>
        <v>455</v>
      </c>
      <c r="T15" s="31">
        <f>MIN(T17:T26)</f>
        <v>45047</v>
      </c>
      <c r="U15" s="31">
        <f>MAX(U17:U26)</f>
        <v>45502</v>
      </c>
      <c r="V15" s="22"/>
      <c r="W15" s="32">
        <f>NETWORKDAYS(X15,Y15)</f>
        <v>430</v>
      </c>
      <c r="X15" s="31">
        <f>MIN(X17:X26)</f>
        <v>45047</v>
      </c>
      <c r="Y15" s="31">
        <f>MAX(Y17:Y26)</f>
        <v>45646</v>
      </c>
      <c r="Z15" s="24"/>
      <c r="AA15" s="46"/>
      <c r="AB15" s="24"/>
      <c r="AC15" s="46"/>
      <c r="AD15" s="46"/>
      <c r="AE15" s="46"/>
      <c r="AF15" s="88"/>
      <c r="AG15" s="88"/>
      <c r="AH15" s="47"/>
      <c r="AI15" s="306" t="str">
        <f t="shared" ref="AI15:BQ15" si="10">IFERROR(IF(AND($T15&gt;=(EOMONTH(AI$8,-1)+1),$U15&lt;AJ$8,$I15="M"),"u",""),"")</f>
        <v/>
      </c>
      <c r="AJ15" s="81" t="str">
        <f t="shared" si="10"/>
        <v/>
      </c>
      <c r="AK15" s="81" t="str">
        <f t="shared" si="10"/>
        <v/>
      </c>
      <c r="AL15" s="81" t="str">
        <f t="shared" si="10"/>
        <v/>
      </c>
      <c r="AM15" s="81" t="str">
        <f t="shared" si="10"/>
        <v/>
      </c>
      <c r="AN15" s="81" t="str">
        <f t="shared" si="10"/>
        <v/>
      </c>
      <c r="AO15" s="81" t="str">
        <f t="shared" si="10"/>
        <v/>
      </c>
      <c r="AP15" s="81" t="str">
        <f t="shared" si="10"/>
        <v/>
      </c>
      <c r="AQ15" s="81" t="str">
        <f t="shared" si="10"/>
        <v/>
      </c>
      <c r="AR15" s="81" t="str">
        <f t="shared" si="10"/>
        <v/>
      </c>
      <c r="AS15" s="81" t="str">
        <f t="shared" si="10"/>
        <v/>
      </c>
      <c r="AT15" s="81" t="str">
        <f t="shared" si="10"/>
        <v/>
      </c>
      <c r="AU15" s="81" t="str">
        <f t="shared" si="10"/>
        <v/>
      </c>
      <c r="AV15" s="81" t="str">
        <f t="shared" si="10"/>
        <v/>
      </c>
      <c r="AW15" s="81" t="str">
        <f t="shared" si="10"/>
        <v/>
      </c>
      <c r="AX15" s="81" t="str">
        <f t="shared" si="10"/>
        <v/>
      </c>
      <c r="AY15" s="81" t="str">
        <f t="shared" si="10"/>
        <v/>
      </c>
      <c r="AZ15" s="81" t="str">
        <f t="shared" si="10"/>
        <v/>
      </c>
      <c r="BA15" s="81" t="str">
        <f t="shared" si="10"/>
        <v/>
      </c>
      <c r="BB15" s="81" t="str">
        <f t="shared" si="10"/>
        <v/>
      </c>
      <c r="BC15" s="81" t="str">
        <f t="shared" si="10"/>
        <v/>
      </c>
      <c r="BD15" s="81" t="str">
        <f t="shared" si="10"/>
        <v/>
      </c>
      <c r="BE15" s="81" t="str">
        <f t="shared" si="10"/>
        <v/>
      </c>
      <c r="BF15" s="81" t="str">
        <f t="shared" si="10"/>
        <v/>
      </c>
      <c r="BG15" s="81" t="str">
        <f t="shared" si="10"/>
        <v/>
      </c>
      <c r="BH15" s="81" t="str">
        <f t="shared" si="10"/>
        <v/>
      </c>
      <c r="BI15" s="81" t="str">
        <f t="shared" si="10"/>
        <v/>
      </c>
      <c r="BJ15" s="81" t="str">
        <f t="shared" si="10"/>
        <v/>
      </c>
      <c r="BK15" s="81" t="str">
        <f t="shared" si="10"/>
        <v/>
      </c>
      <c r="BL15" s="81" t="str">
        <f t="shared" si="10"/>
        <v/>
      </c>
      <c r="BM15" s="81" t="str">
        <f t="shared" si="10"/>
        <v/>
      </c>
      <c r="BN15" s="81" t="str">
        <f t="shared" si="10"/>
        <v/>
      </c>
      <c r="BO15" s="81" t="str">
        <f t="shared" si="10"/>
        <v/>
      </c>
      <c r="BP15" s="81" t="str">
        <f t="shared" si="10"/>
        <v/>
      </c>
      <c r="BQ15" s="82" t="str">
        <f t="shared" si="10"/>
        <v/>
      </c>
      <c r="BR15" s="11" t="s">
        <v>0</v>
      </c>
    </row>
    <row r="16" spans="1:70" ht="19.5" customHeight="1">
      <c r="A16" s="292">
        <v>1.7</v>
      </c>
      <c r="B16" s="293"/>
      <c r="C16" s="294"/>
      <c r="D16" s="295"/>
      <c r="E16" s="296" t="s">
        <v>460</v>
      </c>
      <c r="F16" s="296"/>
      <c r="G16" s="296"/>
      <c r="H16" s="296"/>
      <c r="I16" s="297"/>
      <c r="J16" s="298"/>
      <c r="K16" s="299"/>
      <c r="L16" s="300"/>
      <c r="M16" s="301"/>
      <c r="N16" s="22"/>
      <c r="O16" s="32"/>
      <c r="P16" s="31"/>
      <c r="Q16" s="31"/>
      <c r="R16" s="22"/>
      <c r="S16" s="32"/>
      <c r="T16" s="31"/>
      <c r="U16" s="31"/>
      <c r="V16" s="22"/>
      <c r="W16" s="32"/>
      <c r="X16" s="302"/>
      <c r="Y16" s="302"/>
      <c r="Z16" s="303"/>
      <c r="AA16" s="304"/>
      <c r="AB16" s="303"/>
      <c r="AC16" s="304"/>
      <c r="AD16" s="304"/>
      <c r="AE16" s="304"/>
      <c r="AF16" s="305"/>
      <c r="AG16" s="305"/>
      <c r="AH16" s="47"/>
      <c r="AI16" s="306" t="str">
        <f t="shared" ref="AI16:BQ16" si="11">IFERROR(IF(AND($T16&gt;=(EOMONTH(AI$8,-1)+1),$U16&lt;AJ$8,$I16="M"),"u",""),"")</f>
        <v/>
      </c>
      <c r="AJ16" s="81" t="str">
        <f t="shared" si="11"/>
        <v/>
      </c>
      <c r="AK16" s="81" t="str">
        <f t="shared" si="11"/>
        <v/>
      </c>
      <c r="AL16" s="81" t="str">
        <f t="shared" si="11"/>
        <v/>
      </c>
      <c r="AM16" s="81" t="str">
        <f t="shared" si="11"/>
        <v/>
      </c>
      <c r="AN16" s="81" t="str">
        <f t="shared" si="11"/>
        <v/>
      </c>
      <c r="AO16" s="81" t="str">
        <f t="shared" si="11"/>
        <v/>
      </c>
      <c r="AP16" s="81" t="str">
        <f t="shared" si="11"/>
        <v/>
      </c>
      <c r="AQ16" s="81" t="str">
        <f t="shared" si="11"/>
        <v/>
      </c>
      <c r="AR16" s="81" t="str">
        <f t="shared" si="11"/>
        <v/>
      </c>
      <c r="AS16" s="81" t="str">
        <f t="shared" si="11"/>
        <v/>
      </c>
      <c r="AT16" s="81" t="str">
        <f t="shared" si="11"/>
        <v/>
      </c>
      <c r="AU16" s="81" t="str">
        <f t="shared" si="11"/>
        <v/>
      </c>
      <c r="AV16" s="81" t="str">
        <f t="shared" si="11"/>
        <v/>
      </c>
      <c r="AW16" s="81" t="str">
        <f t="shared" si="11"/>
        <v/>
      </c>
      <c r="AX16" s="81" t="str">
        <f t="shared" si="11"/>
        <v/>
      </c>
      <c r="AY16" s="81" t="str">
        <f t="shared" si="11"/>
        <v/>
      </c>
      <c r="AZ16" s="81" t="str">
        <f t="shared" si="11"/>
        <v/>
      </c>
      <c r="BA16" s="81" t="str">
        <f t="shared" si="11"/>
        <v/>
      </c>
      <c r="BB16" s="81" t="str">
        <f t="shared" si="11"/>
        <v/>
      </c>
      <c r="BC16" s="81" t="str">
        <f t="shared" si="11"/>
        <v/>
      </c>
      <c r="BD16" s="81" t="str">
        <f t="shared" si="11"/>
        <v/>
      </c>
      <c r="BE16" s="81" t="str">
        <f t="shared" si="11"/>
        <v/>
      </c>
      <c r="BF16" s="81" t="str">
        <f t="shared" si="11"/>
        <v/>
      </c>
      <c r="BG16" s="81" t="str">
        <f t="shared" si="11"/>
        <v/>
      </c>
      <c r="BH16" s="81" t="str">
        <f t="shared" si="11"/>
        <v/>
      </c>
      <c r="BI16" s="81" t="str">
        <f t="shared" si="11"/>
        <v/>
      </c>
      <c r="BJ16" s="81" t="str">
        <f t="shared" si="11"/>
        <v/>
      </c>
      <c r="BK16" s="81" t="str">
        <f t="shared" si="11"/>
        <v/>
      </c>
      <c r="BL16" s="81" t="str">
        <f t="shared" si="11"/>
        <v/>
      </c>
      <c r="BM16" s="81" t="str">
        <f t="shared" si="11"/>
        <v/>
      </c>
      <c r="BN16" s="81" t="str">
        <f t="shared" si="11"/>
        <v/>
      </c>
      <c r="BO16" s="81" t="str">
        <f t="shared" si="11"/>
        <v/>
      </c>
      <c r="BP16" s="81" t="str">
        <f t="shared" si="11"/>
        <v/>
      </c>
      <c r="BQ16" s="82" t="str">
        <f t="shared" si="11"/>
        <v/>
      </c>
      <c r="BR16" s="11"/>
    </row>
    <row r="17" spans="1:70" ht="19.5" customHeight="1" outlineLevel="1">
      <c r="A17" s="307"/>
      <c r="B17" s="83" t="s">
        <v>461</v>
      </c>
      <c r="C17" s="84"/>
      <c r="D17" s="85"/>
      <c r="E17" s="35"/>
      <c r="F17" s="35" t="s">
        <v>462</v>
      </c>
      <c r="G17" s="35"/>
      <c r="H17" s="35"/>
      <c r="I17" s="38" t="s">
        <v>463</v>
      </c>
      <c r="J17" s="86"/>
      <c r="K17" s="87"/>
      <c r="L17" s="308" t="s">
        <v>459</v>
      </c>
      <c r="M17" s="32"/>
      <c r="N17" s="22"/>
      <c r="O17" s="32">
        <f>Q17-P17</f>
        <v>153</v>
      </c>
      <c r="P17" s="31">
        <f>X17</f>
        <v>45047</v>
      </c>
      <c r="Q17" s="31">
        <v>45200</v>
      </c>
      <c r="R17" s="22"/>
      <c r="S17" s="32">
        <v>30</v>
      </c>
      <c r="T17" s="31">
        <v>45047</v>
      </c>
      <c r="U17" s="31">
        <f>IF(S17&lt;&gt;"",WORKDAY(T17,S17-1),"")</f>
        <v>45086</v>
      </c>
      <c r="V17" s="22"/>
      <c r="W17" s="32">
        <f>NETWORKDAYS(X17,Y17)</f>
        <v>110</v>
      </c>
      <c r="X17" s="31">
        <v>45047</v>
      </c>
      <c r="Y17" s="31">
        <v>45200</v>
      </c>
      <c r="Z17" s="24"/>
      <c r="AA17" s="40"/>
      <c r="AB17" s="24"/>
      <c r="AC17" s="46"/>
      <c r="AD17" s="40" t="s">
        <v>464</v>
      </c>
      <c r="AE17" s="42"/>
      <c r="AF17" s="41"/>
      <c r="AG17" s="41"/>
      <c r="AH17" s="28"/>
      <c r="AI17" s="309" t="str">
        <f t="shared" ref="AI17:BQ17" si="12">IFERROR(IF(AND($T17&gt;=(EOMONTH(AI$8,-1)+1),$U17&lt;AJ$8,$I17="M"),"u",""),"")</f>
        <v/>
      </c>
      <c r="AJ17" s="89" t="str">
        <f t="shared" si="12"/>
        <v/>
      </c>
      <c r="AK17" s="89" t="str">
        <f t="shared" si="12"/>
        <v/>
      </c>
      <c r="AL17" s="89" t="str">
        <f t="shared" si="12"/>
        <v/>
      </c>
      <c r="AM17" s="89" t="str">
        <f t="shared" si="12"/>
        <v/>
      </c>
      <c r="AN17" s="89" t="str">
        <f t="shared" si="12"/>
        <v/>
      </c>
      <c r="AO17" s="89" t="str">
        <f t="shared" si="12"/>
        <v/>
      </c>
      <c r="AP17" s="89" t="str">
        <f t="shared" si="12"/>
        <v/>
      </c>
      <c r="AQ17" s="89" t="str">
        <f t="shared" si="12"/>
        <v/>
      </c>
      <c r="AR17" s="89" t="str">
        <f t="shared" si="12"/>
        <v/>
      </c>
      <c r="AS17" s="89" t="str">
        <f t="shared" si="12"/>
        <v/>
      </c>
      <c r="AT17" s="89" t="str">
        <f t="shared" si="12"/>
        <v/>
      </c>
      <c r="AU17" s="89" t="str">
        <f t="shared" si="12"/>
        <v/>
      </c>
      <c r="AV17" s="89" t="str">
        <f t="shared" si="12"/>
        <v/>
      </c>
      <c r="AW17" s="89" t="str">
        <f t="shared" si="12"/>
        <v/>
      </c>
      <c r="AX17" s="89" t="str">
        <f t="shared" si="12"/>
        <v/>
      </c>
      <c r="AY17" s="89" t="str">
        <f t="shared" si="12"/>
        <v/>
      </c>
      <c r="AZ17" s="89" t="str">
        <f t="shared" si="12"/>
        <v/>
      </c>
      <c r="BA17" s="89" t="str">
        <f t="shared" si="12"/>
        <v/>
      </c>
      <c r="BB17" s="89" t="str">
        <f t="shared" si="12"/>
        <v/>
      </c>
      <c r="BC17" s="89" t="str">
        <f t="shared" si="12"/>
        <v/>
      </c>
      <c r="BD17" s="89" t="str">
        <f t="shared" si="12"/>
        <v/>
      </c>
      <c r="BE17" s="89" t="str">
        <f t="shared" si="12"/>
        <v/>
      </c>
      <c r="BF17" s="89" t="str">
        <f t="shared" si="12"/>
        <v/>
      </c>
      <c r="BG17" s="89" t="str">
        <f t="shared" si="12"/>
        <v/>
      </c>
      <c r="BH17" s="89" t="str">
        <f t="shared" si="12"/>
        <v/>
      </c>
      <c r="BI17" s="89" t="str">
        <f t="shared" si="12"/>
        <v/>
      </c>
      <c r="BJ17" s="89" t="str">
        <f t="shared" si="12"/>
        <v/>
      </c>
      <c r="BK17" s="89" t="str">
        <f t="shared" si="12"/>
        <v/>
      </c>
      <c r="BL17" s="89" t="str">
        <f t="shared" si="12"/>
        <v/>
      </c>
      <c r="BM17" s="89" t="str">
        <f t="shared" si="12"/>
        <v/>
      </c>
      <c r="BN17" s="89" t="str">
        <f t="shared" si="12"/>
        <v/>
      </c>
      <c r="BO17" s="89" t="str">
        <f t="shared" si="12"/>
        <v/>
      </c>
      <c r="BP17" s="89" t="str">
        <f t="shared" si="12"/>
        <v/>
      </c>
      <c r="BQ17" s="90" t="str">
        <f t="shared" si="12"/>
        <v/>
      </c>
      <c r="BR17" s="11" t="s">
        <v>0</v>
      </c>
    </row>
    <row r="18" spans="1:70" ht="19.5" customHeight="1" outlineLevel="1">
      <c r="A18" s="307"/>
      <c r="B18" s="83"/>
      <c r="C18" s="84"/>
      <c r="D18" s="85"/>
      <c r="E18" s="35"/>
      <c r="F18" s="35"/>
      <c r="G18" s="35" t="s">
        <v>465</v>
      </c>
      <c r="H18" s="35"/>
      <c r="I18" s="38"/>
      <c r="J18" s="86"/>
      <c r="K18" s="87"/>
      <c r="L18" s="308" t="s">
        <v>443</v>
      </c>
      <c r="M18" s="32" t="s">
        <v>450</v>
      </c>
      <c r="N18" s="22"/>
      <c r="O18" s="32">
        <v>1</v>
      </c>
      <c r="P18" s="31"/>
      <c r="Q18" s="31"/>
      <c r="R18" s="22"/>
      <c r="S18" s="32"/>
      <c r="T18" s="31"/>
      <c r="U18" s="31"/>
      <c r="V18" s="22"/>
      <c r="W18" s="32">
        <v>15</v>
      </c>
      <c r="X18" s="31">
        <v>45422</v>
      </c>
      <c r="Y18" s="31">
        <f t="shared" ref="Y18:Y19" si="13">IF(W18&lt;&gt;"",WORKDAY(X18,W18-1),"")</f>
        <v>45442</v>
      </c>
      <c r="Z18" s="24"/>
      <c r="AA18" s="40"/>
      <c r="AB18" s="24"/>
      <c r="AC18" s="46"/>
      <c r="AD18" s="40"/>
      <c r="AE18" s="42"/>
      <c r="AF18" s="41"/>
      <c r="AG18" s="41"/>
      <c r="AH18" s="28"/>
      <c r="AI18" s="309" t="str">
        <f t="shared" ref="AI18:BQ18" si="14">IFERROR(IF(AND($T18&gt;=(EOMONTH(AI$8,-1)+1),$U18&lt;AJ$8,$I18="M"),"u",""),"")</f>
        <v/>
      </c>
      <c r="AJ18" s="89" t="str">
        <f t="shared" si="14"/>
        <v/>
      </c>
      <c r="AK18" s="89" t="str">
        <f t="shared" si="14"/>
        <v/>
      </c>
      <c r="AL18" s="89" t="str">
        <f t="shared" si="14"/>
        <v/>
      </c>
      <c r="AM18" s="89" t="str">
        <f t="shared" si="14"/>
        <v/>
      </c>
      <c r="AN18" s="89" t="str">
        <f t="shared" si="14"/>
        <v/>
      </c>
      <c r="AO18" s="89" t="str">
        <f t="shared" si="14"/>
        <v/>
      </c>
      <c r="AP18" s="89" t="str">
        <f t="shared" si="14"/>
        <v/>
      </c>
      <c r="AQ18" s="89" t="str">
        <f t="shared" si="14"/>
        <v/>
      </c>
      <c r="AR18" s="89" t="str">
        <f t="shared" si="14"/>
        <v/>
      </c>
      <c r="AS18" s="89" t="str">
        <f t="shared" si="14"/>
        <v/>
      </c>
      <c r="AT18" s="89" t="str">
        <f t="shared" si="14"/>
        <v/>
      </c>
      <c r="AU18" s="89" t="str">
        <f t="shared" si="14"/>
        <v/>
      </c>
      <c r="AV18" s="89" t="str">
        <f t="shared" si="14"/>
        <v/>
      </c>
      <c r="AW18" s="89" t="str">
        <f t="shared" si="14"/>
        <v/>
      </c>
      <c r="AX18" s="89" t="str">
        <f t="shared" si="14"/>
        <v/>
      </c>
      <c r="AY18" s="89" t="str">
        <f t="shared" si="14"/>
        <v/>
      </c>
      <c r="AZ18" s="89" t="str">
        <f t="shared" si="14"/>
        <v/>
      </c>
      <c r="BA18" s="89" t="str">
        <f t="shared" si="14"/>
        <v/>
      </c>
      <c r="BB18" s="89" t="str">
        <f t="shared" si="14"/>
        <v/>
      </c>
      <c r="BC18" s="89" t="str">
        <f t="shared" si="14"/>
        <v/>
      </c>
      <c r="BD18" s="89" t="str">
        <f t="shared" si="14"/>
        <v/>
      </c>
      <c r="BE18" s="89" t="str">
        <f t="shared" si="14"/>
        <v/>
      </c>
      <c r="BF18" s="89" t="str">
        <f t="shared" si="14"/>
        <v/>
      </c>
      <c r="BG18" s="89" t="str">
        <f t="shared" si="14"/>
        <v/>
      </c>
      <c r="BH18" s="89" t="str">
        <f t="shared" si="14"/>
        <v/>
      </c>
      <c r="BI18" s="89" t="str">
        <f t="shared" si="14"/>
        <v/>
      </c>
      <c r="BJ18" s="89" t="str">
        <f t="shared" si="14"/>
        <v/>
      </c>
      <c r="BK18" s="89" t="str">
        <f t="shared" si="14"/>
        <v/>
      </c>
      <c r="BL18" s="89" t="str">
        <f t="shared" si="14"/>
        <v/>
      </c>
      <c r="BM18" s="89" t="str">
        <f t="shared" si="14"/>
        <v/>
      </c>
      <c r="BN18" s="89" t="str">
        <f t="shared" si="14"/>
        <v/>
      </c>
      <c r="BO18" s="89" t="str">
        <f t="shared" si="14"/>
        <v/>
      </c>
      <c r="BP18" s="89" t="str">
        <f t="shared" si="14"/>
        <v/>
      </c>
      <c r="BQ18" s="90" t="str">
        <f t="shared" si="14"/>
        <v/>
      </c>
      <c r="BR18" s="11" t="s">
        <v>0</v>
      </c>
    </row>
    <row r="19" spans="1:70" ht="19.5" customHeight="1" outlineLevel="1">
      <c r="A19" s="307"/>
      <c r="B19" s="83"/>
      <c r="C19" s="84"/>
      <c r="D19" s="85"/>
      <c r="E19" s="35"/>
      <c r="F19" s="35"/>
      <c r="G19" s="35" t="s">
        <v>466</v>
      </c>
      <c r="H19" s="35"/>
      <c r="I19" s="38"/>
      <c r="J19" s="86"/>
      <c r="K19" s="87"/>
      <c r="L19" s="308" t="s">
        <v>443</v>
      </c>
      <c r="M19" s="32" t="s">
        <v>450</v>
      </c>
      <c r="N19" s="22"/>
      <c r="O19" s="32"/>
      <c r="P19" s="31"/>
      <c r="Q19" s="31"/>
      <c r="R19" s="22"/>
      <c r="S19" s="32"/>
      <c r="T19" s="31"/>
      <c r="U19" s="31"/>
      <c r="V19" s="22"/>
      <c r="W19" s="32">
        <v>15</v>
      </c>
      <c r="X19" s="31">
        <v>45422</v>
      </c>
      <c r="Y19" s="31">
        <f t="shared" si="13"/>
        <v>45442</v>
      </c>
      <c r="Z19" s="24"/>
      <c r="AA19" s="40"/>
      <c r="AB19" s="24"/>
      <c r="AC19" s="46"/>
      <c r="AD19" s="40"/>
      <c r="AE19" s="42"/>
      <c r="AF19" s="41"/>
      <c r="AG19" s="41"/>
      <c r="AH19" s="28"/>
      <c r="AI19" s="309" t="str">
        <f t="shared" ref="AI19:BQ19" si="15">IFERROR(IF(AND($T19&gt;=(EOMONTH(AI$8,-1)+1),$U19&lt;AJ$8,$I19="M"),"u",""),"")</f>
        <v/>
      </c>
      <c r="AJ19" s="89" t="str">
        <f t="shared" si="15"/>
        <v/>
      </c>
      <c r="AK19" s="89" t="str">
        <f t="shared" si="15"/>
        <v/>
      </c>
      <c r="AL19" s="89" t="str">
        <f t="shared" si="15"/>
        <v/>
      </c>
      <c r="AM19" s="89" t="str">
        <f t="shared" si="15"/>
        <v/>
      </c>
      <c r="AN19" s="89" t="str">
        <f t="shared" si="15"/>
        <v/>
      </c>
      <c r="AO19" s="89" t="str">
        <f t="shared" si="15"/>
        <v/>
      </c>
      <c r="AP19" s="89" t="str">
        <f t="shared" si="15"/>
        <v/>
      </c>
      <c r="AQ19" s="89" t="str">
        <f t="shared" si="15"/>
        <v/>
      </c>
      <c r="AR19" s="89" t="str">
        <f t="shared" si="15"/>
        <v/>
      </c>
      <c r="AS19" s="89" t="str">
        <f t="shared" si="15"/>
        <v/>
      </c>
      <c r="AT19" s="89" t="str">
        <f t="shared" si="15"/>
        <v/>
      </c>
      <c r="AU19" s="89" t="str">
        <f t="shared" si="15"/>
        <v/>
      </c>
      <c r="AV19" s="89" t="str">
        <f t="shared" si="15"/>
        <v/>
      </c>
      <c r="AW19" s="89" t="str">
        <f t="shared" si="15"/>
        <v/>
      </c>
      <c r="AX19" s="89" t="str">
        <f t="shared" si="15"/>
        <v/>
      </c>
      <c r="AY19" s="89" t="str">
        <f t="shared" si="15"/>
        <v/>
      </c>
      <c r="AZ19" s="89" t="str">
        <f t="shared" si="15"/>
        <v/>
      </c>
      <c r="BA19" s="89" t="str">
        <f t="shared" si="15"/>
        <v/>
      </c>
      <c r="BB19" s="89" t="str">
        <f t="shared" si="15"/>
        <v/>
      </c>
      <c r="BC19" s="89" t="str">
        <f t="shared" si="15"/>
        <v/>
      </c>
      <c r="BD19" s="89" t="str">
        <f t="shared" si="15"/>
        <v/>
      </c>
      <c r="BE19" s="89" t="str">
        <f t="shared" si="15"/>
        <v/>
      </c>
      <c r="BF19" s="89" t="str">
        <f t="shared" si="15"/>
        <v/>
      </c>
      <c r="BG19" s="89" t="str">
        <f t="shared" si="15"/>
        <v/>
      </c>
      <c r="BH19" s="89" t="str">
        <f t="shared" si="15"/>
        <v/>
      </c>
      <c r="BI19" s="89" t="str">
        <f t="shared" si="15"/>
        <v/>
      </c>
      <c r="BJ19" s="89" t="str">
        <f t="shared" si="15"/>
        <v/>
      </c>
      <c r="BK19" s="89" t="str">
        <f t="shared" si="15"/>
        <v/>
      </c>
      <c r="BL19" s="89" t="str">
        <f t="shared" si="15"/>
        <v/>
      </c>
      <c r="BM19" s="89" t="str">
        <f t="shared" si="15"/>
        <v/>
      </c>
      <c r="BN19" s="89" t="str">
        <f t="shared" si="15"/>
        <v/>
      </c>
      <c r="BO19" s="89" t="str">
        <f t="shared" si="15"/>
        <v/>
      </c>
      <c r="BP19" s="89" t="str">
        <f t="shared" si="15"/>
        <v/>
      </c>
      <c r="BQ19" s="90" t="str">
        <f t="shared" si="15"/>
        <v/>
      </c>
      <c r="BR19" s="11" t="s">
        <v>0</v>
      </c>
    </row>
    <row r="20" spans="1:70" ht="19.5" customHeight="1" outlineLevel="1">
      <c r="A20" s="307"/>
      <c r="B20" s="83" t="s">
        <v>467</v>
      </c>
      <c r="C20" s="84"/>
      <c r="D20" s="85"/>
      <c r="E20" s="35"/>
      <c r="F20" s="35" t="s">
        <v>468</v>
      </c>
      <c r="G20" s="35"/>
      <c r="H20" s="35"/>
      <c r="I20" s="38"/>
      <c r="J20" s="86"/>
      <c r="K20" s="87"/>
      <c r="L20" s="308" t="s">
        <v>443</v>
      </c>
      <c r="M20" s="32" t="s">
        <v>450</v>
      </c>
      <c r="N20" s="22"/>
      <c r="O20" s="32">
        <f>Q20-P20</f>
        <v>132</v>
      </c>
      <c r="P20" s="53">
        <f>Q17</f>
        <v>45200</v>
      </c>
      <c r="Q20" s="53">
        <v>45332</v>
      </c>
      <c r="R20" s="22"/>
      <c r="S20" s="32">
        <v>90</v>
      </c>
      <c r="T20" s="53">
        <f>U17</f>
        <v>45086</v>
      </c>
      <c r="U20" s="31">
        <f t="shared" ref="U20:U26" si="16">IF(S20&lt;&gt;"",WORKDAY(T20,S20-1),"")</f>
        <v>45211</v>
      </c>
      <c r="V20" s="22"/>
      <c r="W20" s="32">
        <f t="shared" ref="W20:W21" si="17">NETWORKDAYS(X20,Y20)</f>
        <v>95</v>
      </c>
      <c r="X20" s="53">
        <f>Y17</f>
        <v>45200</v>
      </c>
      <c r="Y20" s="53">
        <v>45332</v>
      </c>
      <c r="Z20" s="24"/>
      <c r="AA20" s="40" t="s">
        <v>469</v>
      </c>
      <c r="AB20" s="24"/>
      <c r="AC20" s="46"/>
      <c r="AD20" s="40" t="s">
        <v>464</v>
      </c>
      <c r="AE20" s="40"/>
      <c r="AF20" s="41"/>
      <c r="AG20" s="41"/>
      <c r="AH20" s="28"/>
      <c r="AI20" s="309" t="str">
        <f t="shared" ref="AI20:BQ20" si="18">IFERROR(IF(AND($T20&gt;=(EOMONTH(AI$8,-1)+1),$U20&lt;AJ$8,$I20="M"),"u",""),"")</f>
        <v/>
      </c>
      <c r="AJ20" s="89" t="str">
        <f t="shared" si="18"/>
        <v/>
      </c>
      <c r="AK20" s="89" t="str">
        <f t="shared" si="18"/>
        <v/>
      </c>
      <c r="AL20" s="89" t="str">
        <f t="shared" si="18"/>
        <v/>
      </c>
      <c r="AM20" s="89" t="str">
        <f t="shared" si="18"/>
        <v/>
      </c>
      <c r="AN20" s="89" t="str">
        <f t="shared" si="18"/>
        <v/>
      </c>
      <c r="AO20" s="89" t="str">
        <f t="shared" si="18"/>
        <v/>
      </c>
      <c r="AP20" s="89" t="str">
        <f t="shared" si="18"/>
        <v/>
      </c>
      <c r="AQ20" s="89" t="str">
        <f t="shared" si="18"/>
        <v/>
      </c>
      <c r="AR20" s="89" t="str">
        <f t="shared" si="18"/>
        <v/>
      </c>
      <c r="AS20" s="89" t="str">
        <f t="shared" si="18"/>
        <v/>
      </c>
      <c r="AT20" s="89" t="str">
        <f t="shared" si="18"/>
        <v/>
      </c>
      <c r="AU20" s="89" t="str">
        <f t="shared" si="18"/>
        <v/>
      </c>
      <c r="AV20" s="89" t="str">
        <f t="shared" si="18"/>
        <v/>
      </c>
      <c r="AW20" s="89" t="str">
        <f t="shared" si="18"/>
        <v/>
      </c>
      <c r="AX20" s="89" t="str">
        <f t="shared" si="18"/>
        <v/>
      </c>
      <c r="AY20" s="89" t="str">
        <f t="shared" si="18"/>
        <v/>
      </c>
      <c r="AZ20" s="89" t="str">
        <f t="shared" si="18"/>
        <v/>
      </c>
      <c r="BA20" s="89" t="str">
        <f t="shared" si="18"/>
        <v/>
      </c>
      <c r="BB20" s="89" t="str">
        <f t="shared" si="18"/>
        <v/>
      </c>
      <c r="BC20" s="89" t="str">
        <f t="shared" si="18"/>
        <v/>
      </c>
      <c r="BD20" s="89" t="str">
        <f t="shared" si="18"/>
        <v/>
      </c>
      <c r="BE20" s="89" t="str">
        <f t="shared" si="18"/>
        <v/>
      </c>
      <c r="BF20" s="89" t="str">
        <f t="shared" si="18"/>
        <v/>
      </c>
      <c r="BG20" s="89" t="str">
        <f t="shared" si="18"/>
        <v/>
      </c>
      <c r="BH20" s="89" t="str">
        <f t="shared" si="18"/>
        <v/>
      </c>
      <c r="BI20" s="89" t="str">
        <f t="shared" si="18"/>
        <v/>
      </c>
      <c r="BJ20" s="89" t="str">
        <f t="shared" si="18"/>
        <v/>
      </c>
      <c r="BK20" s="89" t="str">
        <f t="shared" si="18"/>
        <v/>
      </c>
      <c r="BL20" s="89" t="str">
        <f t="shared" si="18"/>
        <v/>
      </c>
      <c r="BM20" s="89" t="str">
        <f t="shared" si="18"/>
        <v/>
      </c>
      <c r="BN20" s="89" t="str">
        <f t="shared" si="18"/>
        <v/>
      </c>
      <c r="BO20" s="89" t="str">
        <f t="shared" si="18"/>
        <v/>
      </c>
      <c r="BP20" s="89" t="str">
        <f t="shared" si="18"/>
        <v/>
      </c>
      <c r="BQ20" s="90" t="str">
        <f t="shared" si="18"/>
        <v/>
      </c>
      <c r="BR20" s="11" t="s">
        <v>0</v>
      </c>
    </row>
    <row r="21" spans="1:70" ht="19.5" customHeight="1" outlineLevel="1">
      <c r="A21" s="307"/>
      <c r="B21" s="83" t="s">
        <v>470</v>
      </c>
      <c r="C21" s="84"/>
      <c r="D21" s="85"/>
      <c r="E21" s="35"/>
      <c r="F21" s="35" t="s">
        <v>471</v>
      </c>
      <c r="G21" s="35"/>
      <c r="H21" s="35"/>
      <c r="I21" s="38"/>
      <c r="J21" s="86"/>
      <c r="K21" s="87"/>
      <c r="L21" s="308" t="s">
        <v>443</v>
      </c>
      <c r="M21" s="32"/>
      <c r="N21" s="22"/>
      <c r="O21" s="32">
        <v>150</v>
      </c>
      <c r="P21" s="31">
        <f>Q20</f>
        <v>45332</v>
      </c>
      <c r="Q21" s="31">
        <f>IF(O21&lt;&gt;"",WORKDAY(P21,O21-1),"")</f>
        <v>45540</v>
      </c>
      <c r="R21" s="22"/>
      <c r="S21" s="32">
        <v>150</v>
      </c>
      <c r="T21" s="31">
        <f>U20</f>
        <v>45211</v>
      </c>
      <c r="U21" s="31">
        <f t="shared" si="16"/>
        <v>45420</v>
      </c>
      <c r="V21" s="22"/>
      <c r="W21" s="32">
        <f t="shared" si="17"/>
        <v>89</v>
      </c>
      <c r="X21" s="31">
        <f>MIN(X22:X24)</f>
        <v>45442</v>
      </c>
      <c r="Y21" s="31">
        <f>MAX(Y22:Y24)</f>
        <v>45566</v>
      </c>
      <c r="Z21" s="24"/>
      <c r="AA21" s="40"/>
      <c r="AB21" s="24"/>
      <c r="AC21" s="46"/>
      <c r="AD21" s="40" t="s">
        <v>464</v>
      </c>
      <c r="AE21" s="42"/>
      <c r="AF21" s="41"/>
      <c r="AG21" s="41" t="s">
        <v>472</v>
      </c>
      <c r="AH21" s="28"/>
      <c r="AI21" s="309" t="str">
        <f t="shared" ref="AI21:BQ21" si="19">IFERROR(IF(AND($T21&gt;=(EOMONTH(AI$8,-1)+1),$U21&lt;AJ$8,$I21="M"),"u",""),"")</f>
        <v/>
      </c>
      <c r="AJ21" s="89" t="str">
        <f t="shared" si="19"/>
        <v/>
      </c>
      <c r="AK21" s="89" t="str">
        <f t="shared" si="19"/>
        <v/>
      </c>
      <c r="AL21" s="89" t="str">
        <f t="shared" si="19"/>
        <v/>
      </c>
      <c r="AM21" s="89" t="str">
        <f t="shared" si="19"/>
        <v/>
      </c>
      <c r="AN21" s="89" t="str">
        <f t="shared" si="19"/>
        <v/>
      </c>
      <c r="AO21" s="89" t="str">
        <f t="shared" si="19"/>
        <v/>
      </c>
      <c r="AP21" s="89" t="str">
        <f t="shared" si="19"/>
        <v/>
      </c>
      <c r="AQ21" s="89" t="str">
        <f t="shared" si="19"/>
        <v/>
      </c>
      <c r="AR21" s="89" t="str">
        <f t="shared" si="19"/>
        <v/>
      </c>
      <c r="AS21" s="89" t="str">
        <f t="shared" si="19"/>
        <v/>
      </c>
      <c r="AT21" s="89" t="str">
        <f t="shared" si="19"/>
        <v/>
      </c>
      <c r="AU21" s="89" t="str">
        <f t="shared" si="19"/>
        <v/>
      </c>
      <c r="AV21" s="89" t="str">
        <f t="shared" si="19"/>
        <v/>
      </c>
      <c r="AW21" s="89" t="str">
        <f t="shared" si="19"/>
        <v/>
      </c>
      <c r="AX21" s="89" t="str">
        <f t="shared" si="19"/>
        <v/>
      </c>
      <c r="AY21" s="89" t="str">
        <f t="shared" si="19"/>
        <v/>
      </c>
      <c r="AZ21" s="89" t="str">
        <f t="shared" si="19"/>
        <v/>
      </c>
      <c r="BA21" s="89" t="str">
        <f t="shared" si="19"/>
        <v/>
      </c>
      <c r="BB21" s="89" t="str">
        <f t="shared" si="19"/>
        <v/>
      </c>
      <c r="BC21" s="89" t="str">
        <f t="shared" si="19"/>
        <v/>
      </c>
      <c r="BD21" s="89" t="str">
        <f t="shared" si="19"/>
        <v/>
      </c>
      <c r="BE21" s="89" t="str">
        <f t="shared" si="19"/>
        <v/>
      </c>
      <c r="BF21" s="89" t="str">
        <f t="shared" si="19"/>
        <v/>
      </c>
      <c r="BG21" s="89" t="str">
        <f t="shared" si="19"/>
        <v/>
      </c>
      <c r="BH21" s="89" t="str">
        <f t="shared" si="19"/>
        <v/>
      </c>
      <c r="BI21" s="89" t="str">
        <f t="shared" si="19"/>
        <v/>
      </c>
      <c r="BJ21" s="89" t="str">
        <f t="shared" si="19"/>
        <v/>
      </c>
      <c r="BK21" s="89" t="str">
        <f t="shared" si="19"/>
        <v/>
      </c>
      <c r="BL21" s="89" t="str">
        <f t="shared" si="19"/>
        <v/>
      </c>
      <c r="BM21" s="89" t="str">
        <f t="shared" si="19"/>
        <v/>
      </c>
      <c r="BN21" s="89" t="str">
        <f t="shared" si="19"/>
        <v/>
      </c>
      <c r="BO21" s="89" t="str">
        <f t="shared" si="19"/>
        <v/>
      </c>
      <c r="BP21" s="89" t="str">
        <f t="shared" si="19"/>
        <v/>
      </c>
      <c r="BQ21" s="90" t="str">
        <f t="shared" si="19"/>
        <v/>
      </c>
      <c r="BR21" s="11" t="s">
        <v>0</v>
      </c>
    </row>
    <row r="22" spans="1:70" ht="19.5" customHeight="1" outlineLevel="1">
      <c r="A22" s="307"/>
      <c r="B22" s="83"/>
      <c r="C22" s="84"/>
      <c r="D22" s="85"/>
      <c r="E22" s="35"/>
      <c r="F22" s="35"/>
      <c r="G22" s="35" t="s">
        <v>473</v>
      </c>
      <c r="H22" s="35"/>
      <c r="I22" s="38"/>
      <c r="J22" s="86"/>
      <c r="K22" s="87"/>
      <c r="L22" s="308" t="s">
        <v>443</v>
      </c>
      <c r="M22" s="32" t="s">
        <v>450</v>
      </c>
      <c r="N22" s="22"/>
      <c r="O22" s="32"/>
      <c r="P22" s="31"/>
      <c r="Q22" s="31"/>
      <c r="R22" s="22"/>
      <c r="S22" s="32">
        <v>30</v>
      </c>
      <c r="T22" s="31">
        <f t="shared" ref="T22:T24" si="20">T21</f>
        <v>45211</v>
      </c>
      <c r="U22" s="31">
        <f t="shared" si="16"/>
        <v>45252</v>
      </c>
      <c r="V22" s="22"/>
      <c r="W22" s="32">
        <v>60</v>
      </c>
      <c r="X22" s="31">
        <f>Y18</f>
        <v>45442</v>
      </c>
      <c r="Y22" s="31">
        <f t="shared" ref="Y22:Y26" si="21">IF(W22&lt;&gt;"",WORKDAY(X22,W22-1),"")</f>
        <v>45525</v>
      </c>
      <c r="Z22" s="24"/>
      <c r="AA22" s="40"/>
      <c r="AB22" s="24"/>
      <c r="AC22" s="46"/>
      <c r="AD22" s="40" t="s">
        <v>464</v>
      </c>
      <c r="AE22" s="42"/>
      <c r="AF22" s="41"/>
      <c r="AG22" s="41" t="s">
        <v>474</v>
      </c>
      <c r="AH22" s="28"/>
      <c r="AI22" s="309" t="str">
        <f t="shared" ref="AI22:BQ22" si="22">IFERROR(IF(AND($T22&gt;=(EOMONTH(AI$8,-1)+1),$U22&lt;AJ$8,$I22="M"),"u",""),"")</f>
        <v/>
      </c>
      <c r="AJ22" s="89" t="str">
        <f t="shared" si="22"/>
        <v/>
      </c>
      <c r="AK22" s="89" t="str">
        <f t="shared" si="22"/>
        <v/>
      </c>
      <c r="AL22" s="89" t="str">
        <f t="shared" si="22"/>
        <v/>
      </c>
      <c r="AM22" s="89" t="str">
        <f t="shared" si="22"/>
        <v/>
      </c>
      <c r="AN22" s="89" t="str">
        <f t="shared" si="22"/>
        <v/>
      </c>
      <c r="AO22" s="89" t="str">
        <f t="shared" si="22"/>
        <v/>
      </c>
      <c r="AP22" s="89" t="str">
        <f t="shared" si="22"/>
        <v/>
      </c>
      <c r="AQ22" s="89" t="str">
        <f t="shared" si="22"/>
        <v/>
      </c>
      <c r="AR22" s="89" t="str">
        <f t="shared" si="22"/>
        <v/>
      </c>
      <c r="AS22" s="89" t="str">
        <f t="shared" si="22"/>
        <v/>
      </c>
      <c r="AT22" s="89" t="str">
        <f t="shared" si="22"/>
        <v/>
      </c>
      <c r="AU22" s="89" t="str">
        <f t="shared" si="22"/>
        <v/>
      </c>
      <c r="AV22" s="89" t="str">
        <f t="shared" si="22"/>
        <v/>
      </c>
      <c r="AW22" s="89" t="str">
        <f t="shared" si="22"/>
        <v/>
      </c>
      <c r="AX22" s="89" t="str">
        <f t="shared" si="22"/>
        <v/>
      </c>
      <c r="AY22" s="89" t="str">
        <f t="shared" si="22"/>
        <v/>
      </c>
      <c r="AZ22" s="89" t="str">
        <f t="shared" si="22"/>
        <v/>
      </c>
      <c r="BA22" s="89" t="str">
        <f t="shared" si="22"/>
        <v/>
      </c>
      <c r="BB22" s="89" t="str">
        <f t="shared" si="22"/>
        <v/>
      </c>
      <c r="BC22" s="89" t="str">
        <f t="shared" si="22"/>
        <v/>
      </c>
      <c r="BD22" s="89" t="str">
        <f t="shared" si="22"/>
        <v/>
      </c>
      <c r="BE22" s="89" t="str">
        <f t="shared" si="22"/>
        <v/>
      </c>
      <c r="BF22" s="89" t="str">
        <f t="shared" si="22"/>
        <v/>
      </c>
      <c r="BG22" s="89" t="str">
        <f t="shared" si="22"/>
        <v/>
      </c>
      <c r="BH22" s="89" t="str">
        <f t="shared" si="22"/>
        <v/>
      </c>
      <c r="BI22" s="89" t="str">
        <f t="shared" si="22"/>
        <v/>
      </c>
      <c r="BJ22" s="89" t="str">
        <f t="shared" si="22"/>
        <v/>
      </c>
      <c r="BK22" s="89" t="str">
        <f t="shared" si="22"/>
        <v/>
      </c>
      <c r="BL22" s="89" t="str">
        <f t="shared" si="22"/>
        <v/>
      </c>
      <c r="BM22" s="89" t="str">
        <f t="shared" si="22"/>
        <v/>
      </c>
      <c r="BN22" s="89" t="str">
        <f t="shared" si="22"/>
        <v/>
      </c>
      <c r="BO22" s="89" t="str">
        <f t="shared" si="22"/>
        <v/>
      </c>
      <c r="BP22" s="89" t="str">
        <f t="shared" si="22"/>
        <v/>
      </c>
      <c r="BQ22" s="90" t="str">
        <f t="shared" si="22"/>
        <v/>
      </c>
      <c r="BR22" s="11" t="s">
        <v>0</v>
      </c>
    </row>
    <row r="23" spans="1:70" ht="19.5" customHeight="1" outlineLevel="1">
      <c r="A23" s="307"/>
      <c r="B23" s="83"/>
      <c r="C23" s="84"/>
      <c r="D23" s="85"/>
      <c r="E23" s="35"/>
      <c r="F23" s="35"/>
      <c r="G23" s="35" t="s">
        <v>475</v>
      </c>
      <c r="H23" s="35"/>
      <c r="I23" s="38"/>
      <c r="J23" s="86"/>
      <c r="K23" s="87"/>
      <c r="L23" s="308" t="s">
        <v>443</v>
      </c>
      <c r="M23" s="32" t="s">
        <v>450</v>
      </c>
      <c r="N23" s="22"/>
      <c r="O23" s="32"/>
      <c r="P23" s="31"/>
      <c r="Q23" s="31"/>
      <c r="R23" s="22"/>
      <c r="S23" s="32">
        <v>60</v>
      </c>
      <c r="T23" s="31">
        <f t="shared" si="20"/>
        <v>45211</v>
      </c>
      <c r="U23" s="31">
        <f t="shared" si="16"/>
        <v>45294</v>
      </c>
      <c r="V23" s="22"/>
      <c r="W23" s="32">
        <v>30</v>
      </c>
      <c r="X23" s="31">
        <f>Y22</f>
        <v>45525</v>
      </c>
      <c r="Y23" s="31">
        <f t="shared" si="21"/>
        <v>45566</v>
      </c>
      <c r="Z23" s="24"/>
      <c r="AA23" s="40"/>
      <c r="AB23" s="24"/>
      <c r="AC23" s="46"/>
      <c r="AD23" s="40" t="s">
        <v>464</v>
      </c>
      <c r="AE23" s="42"/>
      <c r="AF23" s="41"/>
      <c r="AG23" s="41" t="s">
        <v>476</v>
      </c>
      <c r="AH23" s="28"/>
      <c r="AI23" s="309" t="str">
        <f t="shared" ref="AI23:BQ23" si="23">IFERROR(IF(AND($T23&gt;=(EOMONTH(AI$8,-1)+1),$U23&lt;AJ$8,$I23="M"),"u",""),"")</f>
        <v/>
      </c>
      <c r="AJ23" s="89" t="str">
        <f t="shared" si="23"/>
        <v/>
      </c>
      <c r="AK23" s="89" t="str">
        <f t="shared" si="23"/>
        <v/>
      </c>
      <c r="AL23" s="89" t="str">
        <f t="shared" si="23"/>
        <v/>
      </c>
      <c r="AM23" s="89" t="str">
        <f t="shared" si="23"/>
        <v/>
      </c>
      <c r="AN23" s="89" t="str">
        <f t="shared" si="23"/>
        <v/>
      </c>
      <c r="AO23" s="89" t="str">
        <f t="shared" si="23"/>
        <v/>
      </c>
      <c r="AP23" s="89" t="str">
        <f t="shared" si="23"/>
        <v/>
      </c>
      <c r="AQ23" s="89" t="str">
        <f t="shared" si="23"/>
        <v/>
      </c>
      <c r="AR23" s="89" t="str">
        <f t="shared" si="23"/>
        <v/>
      </c>
      <c r="AS23" s="89" t="str">
        <f t="shared" si="23"/>
        <v/>
      </c>
      <c r="AT23" s="89" t="str">
        <f t="shared" si="23"/>
        <v/>
      </c>
      <c r="AU23" s="89" t="str">
        <f t="shared" si="23"/>
        <v/>
      </c>
      <c r="AV23" s="89" t="str">
        <f t="shared" si="23"/>
        <v/>
      </c>
      <c r="AW23" s="89" t="str">
        <f t="shared" si="23"/>
        <v/>
      </c>
      <c r="AX23" s="89" t="str">
        <f t="shared" si="23"/>
        <v/>
      </c>
      <c r="AY23" s="89" t="str">
        <f t="shared" si="23"/>
        <v/>
      </c>
      <c r="AZ23" s="89" t="str">
        <f t="shared" si="23"/>
        <v/>
      </c>
      <c r="BA23" s="89" t="str">
        <f t="shared" si="23"/>
        <v/>
      </c>
      <c r="BB23" s="89" t="str">
        <f t="shared" si="23"/>
        <v/>
      </c>
      <c r="BC23" s="89" t="str">
        <f t="shared" si="23"/>
        <v/>
      </c>
      <c r="BD23" s="89" t="str">
        <f t="shared" si="23"/>
        <v/>
      </c>
      <c r="BE23" s="89" t="str">
        <f t="shared" si="23"/>
        <v/>
      </c>
      <c r="BF23" s="89" t="str">
        <f t="shared" si="23"/>
        <v/>
      </c>
      <c r="BG23" s="89" t="str">
        <f t="shared" si="23"/>
        <v/>
      </c>
      <c r="BH23" s="89" t="str">
        <f t="shared" si="23"/>
        <v/>
      </c>
      <c r="BI23" s="89" t="str">
        <f t="shared" si="23"/>
        <v/>
      </c>
      <c r="BJ23" s="89" t="str">
        <f t="shared" si="23"/>
        <v/>
      </c>
      <c r="BK23" s="89" t="str">
        <f t="shared" si="23"/>
        <v/>
      </c>
      <c r="BL23" s="89" t="str">
        <f t="shared" si="23"/>
        <v/>
      </c>
      <c r="BM23" s="89" t="str">
        <f t="shared" si="23"/>
        <v/>
      </c>
      <c r="BN23" s="89" t="str">
        <f t="shared" si="23"/>
        <v/>
      </c>
      <c r="BO23" s="89" t="str">
        <f t="shared" si="23"/>
        <v/>
      </c>
      <c r="BP23" s="89" t="str">
        <f t="shared" si="23"/>
        <v/>
      </c>
      <c r="BQ23" s="90" t="str">
        <f t="shared" si="23"/>
        <v/>
      </c>
      <c r="BR23" s="11" t="s">
        <v>0</v>
      </c>
    </row>
    <row r="24" spans="1:70" ht="19.5" customHeight="1" outlineLevel="1">
      <c r="A24" s="307"/>
      <c r="B24" s="83"/>
      <c r="C24" s="84"/>
      <c r="D24" s="85"/>
      <c r="E24" s="35"/>
      <c r="F24" s="35"/>
      <c r="G24" s="35" t="s">
        <v>477</v>
      </c>
      <c r="H24" s="35"/>
      <c r="I24" s="38"/>
      <c r="J24" s="86"/>
      <c r="K24" s="87"/>
      <c r="L24" s="308" t="s">
        <v>443</v>
      </c>
      <c r="M24" s="32" t="s">
        <v>450</v>
      </c>
      <c r="N24" s="22"/>
      <c r="O24" s="32"/>
      <c r="P24" s="31"/>
      <c r="Q24" s="31"/>
      <c r="R24" s="22"/>
      <c r="S24" s="32">
        <v>60</v>
      </c>
      <c r="T24" s="31">
        <f t="shared" si="20"/>
        <v>45211</v>
      </c>
      <c r="U24" s="31">
        <f t="shared" si="16"/>
        <v>45294</v>
      </c>
      <c r="V24" s="22"/>
      <c r="W24" s="32">
        <v>30</v>
      </c>
      <c r="X24" s="31"/>
      <c r="Y24" s="31">
        <f t="shared" si="21"/>
        <v>40</v>
      </c>
      <c r="Z24" s="24"/>
      <c r="AA24" s="40"/>
      <c r="AB24" s="24"/>
      <c r="AC24" s="46"/>
      <c r="AD24" s="40" t="s">
        <v>464</v>
      </c>
      <c r="AE24" s="42"/>
      <c r="AF24" s="41"/>
      <c r="AG24" s="41"/>
      <c r="AH24" s="28"/>
      <c r="AI24" s="309" t="str">
        <f t="shared" ref="AI24:BQ24" si="24">IFERROR(IF(AND($T24&gt;=(EOMONTH(AI$8,-1)+1),$U24&lt;AJ$8,$I24="M"),"u",""),"")</f>
        <v/>
      </c>
      <c r="AJ24" s="89" t="str">
        <f t="shared" si="24"/>
        <v/>
      </c>
      <c r="AK24" s="89" t="str">
        <f t="shared" si="24"/>
        <v/>
      </c>
      <c r="AL24" s="89" t="str">
        <f t="shared" si="24"/>
        <v/>
      </c>
      <c r="AM24" s="89" t="str">
        <f t="shared" si="24"/>
        <v/>
      </c>
      <c r="AN24" s="89" t="str">
        <f t="shared" si="24"/>
        <v/>
      </c>
      <c r="AO24" s="89" t="str">
        <f t="shared" si="24"/>
        <v/>
      </c>
      <c r="AP24" s="89" t="str">
        <f t="shared" si="24"/>
        <v/>
      </c>
      <c r="AQ24" s="89" t="str">
        <f t="shared" si="24"/>
        <v/>
      </c>
      <c r="AR24" s="89" t="str">
        <f t="shared" si="24"/>
        <v/>
      </c>
      <c r="AS24" s="89" t="str">
        <f t="shared" si="24"/>
        <v/>
      </c>
      <c r="AT24" s="89" t="str">
        <f t="shared" si="24"/>
        <v/>
      </c>
      <c r="AU24" s="89" t="str">
        <f t="shared" si="24"/>
        <v/>
      </c>
      <c r="AV24" s="89" t="str">
        <f t="shared" si="24"/>
        <v/>
      </c>
      <c r="AW24" s="89" t="str">
        <f t="shared" si="24"/>
        <v/>
      </c>
      <c r="AX24" s="89" t="str">
        <f t="shared" si="24"/>
        <v/>
      </c>
      <c r="AY24" s="89" t="str">
        <f t="shared" si="24"/>
        <v/>
      </c>
      <c r="AZ24" s="89" t="str">
        <f t="shared" si="24"/>
        <v/>
      </c>
      <c r="BA24" s="89" t="str">
        <f t="shared" si="24"/>
        <v/>
      </c>
      <c r="BB24" s="89" t="str">
        <f t="shared" si="24"/>
        <v/>
      </c>
      <c r="BC24" s="89" t="str">
        <f t="shared" si="24"/>
        <v/>
      </c>
      <c r="BD24" s="89" t="str">
        <f t="shared" si="24"/>
        <v/>
      </c>
      <c r="BE24" s="89" t="str">
        <f t="shared" si="24"/>
        <v/>
      </c>
      <c r="BF24" s="89" t="str">
        <f t="shared" si="24"/>
        <v/>
      </c>
      <c r="BG24" s="89" t="str">
        <f t="shared" si="24"/>
        <v/>
      </c>
      <c r="BH24" s="89" t="str">
        <f t="shared" si="24"/>
        <v/>
      </c>
      <c r="BI24" s="89" t="str">
        <f t="shared" si="24"/>
        <v/>
      </c>
      <c r="BJ24" s="89" t="str">
        <f t="shared" si="24"/>
        <v/>
      </c>
      <c r="BK24" s="89" t="str">
        <f t="shared" si="24"/>
        <v/>
      </c>
      <c r="BL24" s="89" t="str">
        <f t="shared" si="24"/>
        <v/>
      </c>
      <c r="BM24" s="89" t="str">
        <f t="shared" si="24"/>
        <v/>
      </c>
      <c r="BN24" s="89" t="str">
        <f t="shared" si="24"/>
        <v/>
      </c>
      <c r="BO24" s="89" t="str">
        <f t="shared" si="24"/>
        <v/>
      </c>
      <c r="BP24" s="89" t="str">
        <f t="shared" si="24"/>
        <v/>
      </c>
      <c r="BQ24" s="90" t="str">
        <f t="shared" si="24"/>
        <v/>
      </c>
      <c r="BR24" s="11" t="s">
        <v>0</v>
      </c>
    </row>
    <row r="25" spans="1:70" ht="19.5" customHeight="1" outlineLevel="1">
      <c r="A25" s="307"/>
      <c r="B25" s="83" t="s">
        <v>478</v>
      </c>
      <c r="C25" s="84"/>
      <c r="D25" s="85"/>
      <c r="E25" s="35"/>
      <c r="F25" s="91" t="s">
        <v>479</v>
      </c>
      <c r="G25" s="91"/>
      <c r="H25" s="35"/>
      <c r="I25" s="38"/>
      <c r="J25" s="86"/>
      <c r="K25" s="87"/>
      <c r="L25" s="308" t="s">
        <v>443</v>
      </c>
      <c r="M25" s="32"/>
      <c r="N25" s="22"/>
      <c r="O25" s="32">
        <v>30</v>
      </c>
      <c r="P25" s="31">
        <f>Q21</f>
        <v>45540</v>
      </c>
      <c r="Q25" s="31">
        <f t="shared" ref="Q25:Q26" si="25">IF(O25&lt;&gt;"",WORKDAY(P25,O25-1),"")</f>
        <v>45581</v>
      </c>
      <c r="R25" s="22"/>
      <c r="S25" s="32">
        <v>30</v>
      </c>
      <c r="T25" s="31">
        <f>U21</f>
        <v>45420</v>
      </c>
      <c r="U25" s="31">
        <f t="shared" si="16"/>
        <v>45461</v>
      </c>
      <c r="V25" s="22"/>
      <c r="W25" s="32">
        <v>30</v>
      </c>
      <c r="X25" s="31">
        <f>Y21</f>
        <v>45566</v>
      </c>
      <c r="Y25" s="31">
        <f t="shared" si="21"/>
        <v>45607</v>
      </c>
      <c r="Z25" s="24"/>
      <c r="AA25" s="40" t="s">
        <v>480</v>
      </c>
      <c r="AB25" s="24"/>
      <c r="AC25" s="46"/>
      <c r="AD25" s="40" t="s">
        <v>464</v>
      </c>
      <c r="AE25" s="40"/>
      <c r="AF25" s="41"/>
      <c r="AG25" s="41"/>
      <c r="AH25" s="28"/>
      <c r="AI25" s="309" t="str">
        <f t="shared" ref="AI25:BQ25" si="26">IFERROR(IF(AND($T25&gt;=(EOMONTH(AI$8,-1)+1),$U25&lt;AJ$8,$I25="M"),"u",""),"")</f>
        <v/>
      </c>
      <c r="AJ25" s="89" t="str">
        <f t="shared" si="26"/>
        <v/>
      </c>
      <c r="AK25" s="89" t="str">
        <f t="shared" si="26"/>
        <v/>
      </c>
      <c r="AL25" s="89" t="str">
        <f t="shared" si="26"/>
        <v/>
      </c>
      <c r="AM25" s="89" t="str">
        <f t="shared" si="26"/>
        <v/>
      </c>
      <c r="AN25" s="89" t="str">
        <f t="shared" si="26"/>
        <v/>
      </c>
      <c r="AO25" s="89" t="str">
        <f t="shared" si="26"/>
        <v/>
      </c>
      <c r="AP25" s="89" t="str">
        <f t="shared" si="26"/>
        <v/>
      </c>
      <c r="AQ25" s="89" t="str">
        <f t="shared" si="26"/>
        <v/>
      </c>
      <c r="AR25" s="89" t="str">
        <f t="shared" si="26"/>
        <v/>
      </c>
      <c r="AS25" s="89" t="str">
        <f t="shared" si="26"/>
        <v/>
      </c>
      <c r="AT25" s="89" t="str">
        <f t="shared" si="26"/>
        <v/>
      </c>
      <c r="AU25" s="89" t="str">
        <f t="shared" si="26"/>
        <v/>
      </c>
      <c r="AV25" s="89" t="str">
        <f t="shared" si="26"/>
        <v/>
      </c>
      <c r="AW25" s="89" t="str">
        <f t="shared" si="26"/>
        <v/>
      </c>
      <c r="AX25" s="89" t="str">
        <f t="shared" si="26"/>
        <v/>
      </c>
      <c r="AY25" s="89" t="str">
        <f t="shared" si="26"/>
        <v/>
      </c>
      <c r="AZ25" s="89" t="str">
        <f t="shared" si="26"/>
        <v/>
      </c>
      <c r="BA25" s="89" t="str">
        <f t="shared" si="26"/>
        <v/>
      </c>
      <c r="BB25" s="89" t="str">
        <f t="shared" si="26"/>
        <v/>
      </c>
      <c r="BC25" s="89" t="str">
        <f t="shared" si="26"/>
        <v/>
      </c>
      <c r="BD25" s="89" t="str">
        <f t="shared" si="26"/>
        <v/>
      </c>
      <c r="BE25" s="89" t="str">
        <f t="shared" si="26"/>
        <v/>
      </c>
      <c r="BF25" s="89" t="str">
        <f t="shared" si="26"/>
        <v/>
      </c>
      <c r="BG25" s="89" t="str">
        <f t="shared" si="26"/>
        <v/>
      </c>
      <c r="BH25" s="89" t="str">
        <f t="shared" si="26"/>
        <v/>
      </c>
      <c r="BI25" s="89" t="str">
        <f t="shared" si="26"/>
        <v/>
      </c>
      <c r="BJ25" s="89" t="str">
        <f t="shared" si="26"/>
        <v/>
      </c>
      <c r="BK25" s="89" t="str">
        <f t="shared" si="26"/>
        <v/>
      </c>
      <c r="BL25" s="89" t="str">
        <f t="shared" si="26"/>
        <v/>
      </c>
      <c r="BM25" s="89" t="str">
        <f t="shared" si="26"/>
        <v/>
      </c>
      <c r="BN25" s="89" t="str">
        <f t="shared" si="26"/>
        <v/>
      </c>
      <c r="BO25" s="89" t="str">
        <f t="shared" si="26"/>
        <v/>
      </c>
      <c r="BP25" s="89" t="str">
        <f t="shared" si="26"/>
        <v/>
      </c>
      <c r="BQ25" s="90" t="str">
        <f t="shared" si="26"/>
        <v/>
      </c>
      <c r="BR25" s="11" t="s">
        <v>0</v>
      </c>
    </row>
    <row r="26" spans="1:70" ht="19.5" customHeight="1" outlineLevel="1">
      <c r="A26" s="307"/>
      <c r="B26" s="83" t="s">
        <v>481</v>
      </c>
      <c r="C26" s="84"/>
      <c r="D26" s="85"/>
      <c r="E26" s="35"/>
      <c r="F26" s="35" t="s">
        <v>482</v>
      </c>
      <c r="G26" s="35"/>
      <c r="H26" s="35"/>
      <c r="I26" s="38"/>
      <c r="J26" s="86"/>
      <c r="K26" s="87"/>
      <c r="L26" s="308" t="s">
        <v>443</v>
      </c>
      <c r="M26" s="32"/>
      <c r="N26" s="22"/>
      <c r="O26" s="32">
        <v>30</v>
      </c>
      <c r="P26" s="31">
        <f>Q25</f>
        <v>45581</v>
      </c>
      <c r="Q26" s="31">
        <f t="shared" si="25"/>
        <v>45622</v>
      </c>
      <c r="R26" s="22"/>
      <c r="S26" s="32">
        <v>30</v>
      </c>
      <c r="T26" s="53">
        <f>U25</f>
        <v>45461</v>
      </c>
      <c r="U26" s="31">
        <f t="shared" si="16"/>
        <v>45502</v>
      </c>
      <c r="V26" s="22"/>
      <c r="W26" s="32">
        <v>30</v>
      </c>
      <c r="X26" s="31">
        <f>Y25</f>
        <v>45607</v>
      </c>
      <c r="Y26" s="31">
        <f t="shared" si="21"/>
        <v>45646</v>
      </c>
      <c r="Z26" s="24"/>
      <c r="AA26" s="40"/>
      <c r="AB26" s="24"/>
      <c r="AC26" s="46"/>
      <c r="AD26" s="40" t="s">
        <v>464</v>
      </c>
      <c r="AE26" s="40"/>
      <c r="AF26" s="41"/>
      <c r="AG26" s="41"/>
      <c r="AH26" s="28"/>
      <c r="AI26" s="309" t="str">
        <f t="shared" ref="AI26:BQ26" si="27">IFERROR(IF(AND($T26&gt;=(EOMONTH(AI$8,-1)+1),$U26&lt;AJ$8,$I26="M"),"u",""),"")</f>
        <v/>
      </c>
      <c r="AJ26" s="89" t="str">
        <f t="shared" si="27"/>
        <v/>
      </c>
      <c r="AK26" s="89" t="str">
        <f t="shared" si="27"/>
        <v/>
      </c>
      <c r="AL26" s="89" t="str">
        <f t="shared" si="27"/>
        <v/>
      </c>
      <c r="AM26" s="89" t="str">
        <f t="shared" si="27"/>
        <v/>
      </c>
      <c r="AN26" s="89" t="str">
        <f t="shared" si="27"/>
        <v/>
      </c>
      <c r="AO26" s="89" t="str">
        <f t="shared" si="27"/>
        <v/>
      </c>
      <c r="AP26" s="89" t="str">
        <f t="shared" si="27"/>
        <v/>
      </c>
      <c r="AQ26" s="89" t="str">
        <f t="shared" si="27"/>
        <v/>
      </c>
      <c r="AR26" s="89" t="str">
        <f t="shared" si="27"/>
        <v/>
      </c>
      <c r="AS26" s="89" t="str">
        <f t="shared" si="27"/>
        <v/>
      </c>
      <c r="AT26" s="89" t="str">
        <f t="shared" si="27"/>
        <v/>
      </c>
      <c r="AU26" s="89" t="str">
        <f t="shared" si="27"/>
        <v/>
      </c>
      <c r="AV26" s="89" t="str">
        <f t="shared" si="27"/>
        <v/>
      </c>
      <c r="AW26" s="89" t="str">
        <f t="shared" si="27"/>
        <v/>
      </c>
      <c r="AX26" s="89" t="str">
        <f t="shared" si="27"/>
        <v/>
      </c>
      <c r="AY26" s="89" t="str">
        <f t="shared" si="27"/>
        <v/>
      </c>
      <c r="AZ26" s="89" t="str">
        <f t="shared" si="27"/>
        <v/>
      </c>
      <c r="BA26" s="89" t="str">
        <f t="shared" si="27"/>
        <v/>
      </c>
      <c r="BB26" s="89" t="str">
        <f t="shared" si="27"/>
        <v/>
      </c>
      <c r="BC26" s="89" t="str">
        <f t="shared" si="27"/>
        <v/>
      </c>
      <c r="BD26" s="89" t="str">
        <f t="shared" si="27"/>
        <v/>
      </c>
      <c r="BE26" s="89" t="str">
        <f t="shared" si="27"/>
        <v/>
      </c>
      <c r="BF26" s="89" t="str">
        <f t="shared" si="27"/>
        <v/>
      </c>
      <c r="BG26" s="89" t="str">
        <f t="shared" si="27"/>
        <v/>
      </c>
      <c r="BH26" s="89" t="str">
        <f t="shared" si="27"/>
        <v/>
      </c>
      <c r="BI26" s="89" t="str">
        <f t="shared" si="27"/>
        <v/>
      </c>
      <c r="BJ26" s="89" t="str">
        <f t="shared" si="27"/>
        <v/>
      </c>
      <c r="BK26" s="89" t="str">
        <f t="shared" si="27"/>
        <v/>
      </c>
      <c r="BL26" s="89" t="str">
        <f t="shared" si="27"/>
        <v/>
      </c>
      <c r="BM26" s="89" t="str">
        <f t="shared" si="27"/>
        <v/>
      </c>
      <c r="BN26" s="89" t="str">
        <f t="shared" si="27"/>
        <v/>
      </c>
      <c r="BO26" s="89" t="str">
        <f t="shared" si="27"/>
        <v/>
      </c>
      <c r="BP26" s="89" t="str">
        <f t="shared" si="27"/>
        <v/>
      </c>
      <c r="BQ26" s="90" t="str">
        <f t="shared" si="27"/>
        <v/>
      </c>
      <c r="BR26" s="11" t="s">
        <v>0</v>
      </c>
    </row>
    <row r="27" spans="1:70" ht="22.5" customHeight="1">
      <c r="A27" s="285">
        <v>2</v>
      </c>
      <c r="B27" s="286"/>
      <c r="C27" s="287"/>
      <c r="D27" s="288" t="s">
        <v>483</v>
      </c>
      <c r="E27" s="211"/>
      <c r="F27" s="211"/>
      <c r="G27" s="211"/>
      <c r="H27" s="211"/>
      <c r="I27" s="212"/>
      <c r="J27" s="213"/>
      <c r="K27" s="289"/>
      <c r="L27" s="215"/>
      <c r="M27" s="214"/>
      <c r="N27" s="22"/>
      <c r="O27" s="214"/>
      <c r="P27" s="216">
        <f>MIN(P29,P34,P39,P44,P49,P53,P62,P66,P71,P73)</f>
        <v>0</v>
      </c>
      <c r="Q27" s="216">
        <f>MAX(Q29,Q34,Q39,Q44,Q49,Q53,Q62,Q66,Q71,Q73)</f>
        <v>45749</v>
      </c>
      <c r="R27" s="22"/>
      <c r="S27" s="214">
        <f>IF(T27=0,"",U27-T27)</f>
        <v>699</v>
      </c>
      <c r="T27" s="216">
        <f>MIN(T29,T34,T39,T44,T49,T53,T62,T66,T71,T73)</f>
        <v>45035</v>
      </c>
      <c r="U27" s="216">
        <f>MAX(U29,U34,U39,U44,U49,U53,U62,U66,U71,U73)</f>
        <v>45734</v>
      </c>
      <c r="V27" s="22"/>
      <c r="W27" s="214">
        <f ca="1">IF(X27=0,"",Y27-X27)</f>
        <v>993</v>
      </c>
      <c r="X27" s="216">
        <f>MIN(X29,X34,X39,X44,X49,X53,X62,X66,X71,X73)</f>
        <v>45035</v>
      </c>
      <c r="Y27" s="216">
        <f ca="1">MAX(Y29,Y34,Y39,Y44,Y49,Y53,Y62,Y66,Y71,Y73)</f>
        <v>46028</v>
      </c>
      <c r="Z27" s="24"/>
      <c r="AA27" s="213"/>
      <c r="AB27" s="24"/>
      <c r="AC27" s="217"/>
      <c r="AD27" s="213"/>
      <c r="AE27" s="213"/>
      <c r="AF27" s="218"/>
      <c r="AG27" s="218"/>
      <c r="AH27" s="28"/>
      <c r="AI27" s="291" t="str">
        <f t="shared" ref="AI27:BQ27" si="28">IFERROR(IF(AND($T27&gt;=(EOMONTH(AI$8,-1)+1),$U27&lt;AJ$8,$I27="M"),"u",""),"")</f>
        <v/>
      </c>
      <c r="AJ27" s="81" t="str">
        <f t="shared" si="28"/>
        <v/>
      </c>
      <c r="AK27" s="81" t="str">
        <f t="shared" si="28"/>
        <v/>
      </c>
      <c r="AL27" s="81" t="str">
        <f t="shared" si="28"/>
        <v/>
      </c>
      <c r="AM27" s="81" t="str">
        <f t="shared" si="28"/>
        <v/>
      </c>
      <c r="AN27" s="81" t="str">
        <f t="shared" si="28"/>
        <v/>
      </c>
      <c r="AO27" s="81" t="str">
        <f t="shared" si="28"/>
        <v/>
      </c>
      <c r="AP27" s="81" t="str">
        <f t="shared" si="28"/>
        <v/>
      </c>
      <c r="AQ27" s="81" t="str">
        <f t="shared" si="28"/>
        <v/>
      </c>
      <c r="AR27" s="81" t="str">
        <f t="shared" si="28"/>
        <v/>
      </c>
      <c r="AS27" s="81" t="str">
        <f t="shared" si="28"/>
        <v/>
      </c>
      <c r="AT27" s="81" t="str">
        <f t="shared" si="28"/>
        <v/>
      </c>
      <c r="AU27" s="81" t="str">
        <f t="shared" si="28"/>
        <v/>
      </c>
      <c r="AV27" s="81" t="str">
        <f t="shared" si="28"/>
        <v/>
      </c>
      <c r="AW27" s="81" t="str">
        <f t="shared" si="28"/>
        <v/>
      </c>
      <c r="AX27" s="81" t="str">
        <f t="shared" si="28"/>
        <v/>
      </c>
      <c r="AY27" s="81" t="str">
        <f t="shared" si="28"/>
        <v/>
      </c>
      <c r="AZ27" s="81" t="str">
        <f t="shared" si="28"/>
        <v/>
      </c>
      <c r="BA27" s="81" t="str">
        <f t="shared" si="28"/>
        <v/>
      </c>
      <c r="BB27" s="81" t="str">
        <f t="shared" si="28"/>
        <v/>
      </c>
      <c r="BC27" s="81" t="str">
        <f t="shared" si="28"/>
        <v/>
      </c>
      <c r="BD27" s="81" t="str">
        <f t="shared" si="28"/>
        <v/>
      </c>
      <c r="BE27" s="81" t="str">
        <f t="shared" si="28"/>
        <v/>
      </c>
      <c r="BF27" s="81" t="str">
        <f t="shared" si="28"/>
        <v/>
      </c>
      <c r="BG27" s="81" t="str">
        <f t="shared" si="28"/>
        <v/>
      </c>
      <c r="BH27" s="81" t="str">
        <f t="shared" si="28"/>
        <v/>
      </c>
      <c r="BI27" s="81" t="str">
        <f t="shared" si="28"/>
        <v/>
      </c>
      <c r="BJ27" s="81" t="str">
        <f t="shared" si="28"/>
        <v/>
      </c>
      <c r="BK27" s="81" t="str">
        <f t="shared" si="28"/>
        <v/>
      </c>
      <c r="BL27" s="81" t="str">
        <f t="shared" si="28"/>
        <v/>
      </c>
      <c r="BM27" s="81" t="str">
        <f t="shared" si="28"/>
        <v/>
      </c>
      <c r="BN27" s="81" t="str">
        <f t="shared" si="28"/>
        <v/>
      </c>
      <c r="BO27" s="81" t="str">
        <f t="shared" si="28"/>
        <v/>
      </c>
      <c r="BP27" s="81" t="str">
        <f t="shared" si="28"/>
        <v/>
      </c>
      <c r="BQ27" s="82" t="str">
        <f t="shared" si="28"/>
        <v/>
      </c>
      <c r="BR27" s="11" t="s">
        <v>0</v>
      </c>
    </row>
    <row r="28" spans="1:70" ht="19.5" customHeight="1">
      <c r="A28" s="310">
        <v>2.1</v>
      </c>
      <c r="B28" s="311"/>
      <c r="C28" s="312"/>
      <c r="D28" s="295"/>
      <c r="E28" s="313" t="s">
        <v>484</v>
      </c>
      <c r="F28" s="313"/>
      <c r="G28" s="313"/>
      <c r="H28" s="313"/>
      <c r="I28" s="297"/>
      <c r="J28" s="298" t="s">
        <v>485</v>
      </c>
      <c r="K28" s="314" t="s">
        <v>486</v>
      </c>
      <c r="L28" s="300" t="s">
        <v>454</v>
      </c>
      <c r="M28" s="301"/>
      <c r="N28" s="22"/>
      <c r="O28" s="32"/>
      <c r="P28" s="44"/>
      <c r="Q28" s="44"/>
      <c r="R28" s="22"/>
      <c r="S28" s="32"/>
      <c r="T28" s="44"/>
      <c r="U28" s="44"/>
      <c r="V28" s="22"/>
      <c r="W28" s="301"/>
      <c r="X28" s="315"/>
      <c r="Y28" s="315"/>
      <c r="Z28" s="303"/>
      <c r="AA28" s="316"/>
      <c r="AB28" s="303"/>
      <c r="AC28" s="317"/>
      <c r="AD28" s="316"/>
      <c r="AE28" s="316"/>
      <c r="AF28" s="318"/>
      <c r="AG28" s="318"/>
      <c r="AH28" s="3"/>
      <c r="AI28" s="319" t="str">
        <f t="shared" ref="AI28:BQ28" si="29">IFERROR(IF(AND($T28&gt;=(EOMONTH(AI$8,-1)+1),$U28&lt;AJ$8,$I28="M"),"u",""),"")</f>
        <v/>
      </c>
      <c r="AJ28" s="92" t="str">
        <f t="shared" si="29"/>
        <v/>
      </c>
      <c r="AK28" s="92" t="str">
        <f t="shared" si="29"/>
        <v/>
      </c>
      <c r="AL28" s="92" t="str">
        <f t="shared" si="29"/>
        <v/>
      </c>
      <c r="AM28" s="92" t="str">
        <f t="shared" si="29"/>
        <v/>
      </c>
      <c r="AN28" s="92" t="str">
        <f t="shared" si="29"/>
        <v/>
      </c>
      <c r="AO28" s="92" t="str">
        <f t="shared" si="29"/>
        <v/>
      </c>
      <c r="AP28" s="92" t="str">
        <f t="shared" si="29"/>
        <v/>
      </c>
      <c r="AQ28" s="92" t="str">
        <f t="shared" si="29"/>
        <v/>
      </c>
      <c r="AR28" s="92" t="str">
        <f t="shared" si="29"/>
        <v/>
      </c>
      <c r="AS28" s="92" t="str">
        <f t="shared" si="29"/>
        <v/>
      </c>
      <c r="AT28" s="92" t="str">
        <f t="shared" si="29"/>
        <v/>
      </c>
      <c r="AU28" s="92" t="str">
        <f t="shared" si="29"/>
        <v/>
      </c>
      <c r="AV28" s="92" t="str">
        <f t="shared" si="29"/>
        <v/>
      </c>
      <c r="AW28" s="92" t="str">
        <f t="shared" si="29"/>
        <v/>
      </c>
      <c r="AX28" s="92" t="str">
        <f t="shared" si="29"/>
        <v/>
      </c>
      <c r="AY28" s="92" t="str">
        <f t="shared" si="29"/>
        <v/>
      </c>
      <c r="AZ28" s="92" t="str">
        <f t="shared" si="29"/>
        <v/>
      </c>
      <c r="BA28" s="92" t="str">
        <f t="shared" si="29"/>
        <v/>
      </c>
      <c r="BB28" s="92" t="str">
        <f t="shared" si="29"/>
        <v/>
      </c>
      <c r="BC28" s="92" t="str">
        <f t="shared" si="29"/>
        <v/>
      </c>
      <c r="BD28" s="92" t="str">
        <f t="shared" si="29"/>
        <v/>
      </c>
      <c r="BE28" s="92" t="str">
        <f t="shared" si="29"/>
        <v/>
      </c>
      <c r="BF28" s="92" t="str">
        <f t="shared" si="29"/>
        <v/>
      </c>
      <c r="BG28" s="92" t="str">
        <f t="shared" si="29"/>
        <v/>
      </c>
      <c r="BH28" s="92" t="str">
        <f t="shared" si="29"/>
        <v/>
      </c>
      <c r="BI28" s="92" t="str">
        <f t="shared" si="29"/>
        <v/>
      </c>
      <c r="BJ28" s="92" t="str">
        <f t="shared" si="29"/>
        <v/>
      </c>
      <c r="BK28" s="92" t="str">
        <f t="shared" si="29"/>
        <v/>
      </c>
      <c r="BL28" s="92" t="str">
        <f t="shared" si="29"/>
        <v/>
      </c>
      <c r="BM28" s="92" t="str">
        <f t="shared" si="29"/>
        <v/>
      </c>
      <c r="BN28" s="92" t="str">
        <f t="shared" si="29"/>
        <v/>
      </c>
      <c r="BO28" s="92" t="str">
        <f t="shared" si="29"/>
        <v/>
      </c>
      <c r="BP28" s="92" t="str">
        <f t="shared" si="29"/>
        <v/>
      </c>
      <c r="BQ28" s="93" t="str">
        <f t="shared" si="29"/>
        <v/>
      </c>
      <c r="BR28" s="11"/>
    </row>
    <row r="29" spans="1:70" ht="19.5" customHeight="1">
      <c r="A29" s="320">
        <v>2.2000000000000002</v>
      </c>
      <c r="B29" s="94"/>
      <c r="C29" s="95"/>
      <c r="D29" s="85"/>
      <c r="E29" s="12" t="s">
        <v>487</v>
      </c>
      <c r="F29" s="12"/>
      <c r="G29" s="12"/>
      <c r="H29" s="12"/>
      <c r="I29" s="38"/>
      <c r="J29" s="86" t="s">
        <v>488</v>
      </c>
      <c r="K29" s="96" t="s">
        <v>489</v>
      </c>
      <c r="L29" s="249"/>
      <c r="M29" s="32"/>
      <c r="N29" s="22"/>
      <c r="O29" s="32">
        <f t="shared" ref="O29:O35" si="30">NETWORKDAYS(P29,Q29)</f>
        <v>174</v>
      </c>
      <c r="P29" s="44">
        <f>MIN(P30:P33)</f>
        <v>45128</v>
      </c>
      <c r="Q29" s="44">
        <f>MAX(Q30:Q33)</f>
        <v>45371</v>
      </c>
      <c r="R29" s="22"/>
      <c r="S29" s="32">
        <f t="shared" ref="S29:S35" si="31">NETWORKDAYS(T29,U29)</f>
        <v>57</v>
      </c>
      <c r="T29" s="44">
        <f>MIN(T30:T33)</f>
        <v>45119</v>
      </c>
      <c r="U29" s="44">
        <f>MAX(U30:U33)</f>
        <v>45197</v>
      </c>
      <c r="V29" s="22"/>
      <c r="W29" s="32">
        <f t="shared" ref="W29:W35" si="32">NETWORKDAYS(X29,Y29)</f>
        <v>181</v>
      </c>
      <c r="X29" s="44">
        <f>MIN(X30:X33)</f>
        <v>45119</v>
      </c>
      <c r="Y29" s="44">
        <f>MAX(Y30:Y33)</f>
        <v>45371</v>
      </c>
      <c r="Z29" s="24"/>
      <c r="AA29" s="97"/>
      <c r="AB29" s="24"/>
      <c r="AC29" s="98"/>
      <c r="AD29" s="97"/>
      <c r="AE29" s="97"/>
      <c r="AF29" s="99"/>
      <c r="AG29" s="99"/>
      <c r="AH29" s="3"/>
      <c r="AI29" s="319" t="str">
        <f t="shared" ref="AI29:BQ29" si="33">IFERROR(IF(AND($T29&gt;=(EOMONTH(AI$8,-1)+1),$U29&lt;AJ$8,$I29="M"),"u",""),"")</f>
        <v/>
      </c>
      <c r="AJ29" s="92" t="str">
        <f t="shared" si="33"/>
        <v/>
      </c>
      <c r="AK29" s="92" t="str">
        <f t="shared" si="33"/>
        <v/>
      </c>
      <c r="AL29" s="92" t="str">
        <f t="shared" si="33"/>
        <v/>
      </c>
      <c r="AM29" s="92" t="str">
        <f t="shared" si="33"/>
        <v/>
      </c>
      <c r="AN29" s="92" t="str">
        <f t="shared" si="33"/>
        <v/>
      </c>
      <c r="AO29" s="92" t="str">
        <f t="shared" si="33"/>
        <v/>
      </c>
      <c r="AP29" s="92" t="str">
        <f t="shared" si="33"/>
        <v/>
      </c>
      <c r="AQ29" s="92" t="str">
        <f t="shared" si="33"/>
        <v/>
      </c>
      <c r="AR29" s="92" t="str">
        <f t="shared" si="33"/>
        <v/>
      </c>
      <c r="AS29" s="92" t="str">
        <f t="shared" si="33"/>
        <v/>
      </c>
      <c r="AT29" s="92" t="str">
        <f t="shared" si="33"/>
        <v/>
      </c>
      <c r="AU29" s="92" t="str">
        <f t="shared" si="33"/>
        <v/>
      </c>
      <c r="AV29" s="92" t="str">
        <f t="shared" si="33"/>
        <v/>
      </c>
      <c r="AW29" s="92" t="str">
        <f t="shared" si="33"/>
        <v/>
      </c>
      <c r="AX29" s="92" t="str">
        <f t="shared" si="33"/>
        <v/>
      </c>
      <c r="AY29" s="92" t="str">
        <f t="shared" si="33"/>
        <v/>
      </c>
      <c r="AZ29" s="92" t="str">
        <f t="shared" si="33"/>
        <v/>
      </c>
      <c r="BA29" s="92" t="str">
        <f t="shared" si="33"/>
        <v/>
      </c>
      <c r="BB29" s="92" t="str">
        <f t="shared" si="33"/>
        <v/>
      </c>
      <c r="BC29" s="92" t="str">
        <f t="shared" si="33"/>
        <v/>
      </c>
      <c r="BD29" s="92" t="str">
        <f t="shared" si="33"/>
        <v/>
      </c>
      <c r="BE29" s="92" t="str">
        <f t="shared" si="33"/>
        <v/>
      </c>
      <c r="BF29" s="92" t="str">
        <f t="shared" si="33"/>
        <v/>
      </c>
      <c r="BG29" s="92" t="str">
        <f t="shared" si="33"/>
        <v/>
      </c>
      <c r="BH29" s="92" t="str">
        <f t="shared" si="33"/>
        <v/>
      </c>
      <c r="BI29" s="92" t="str">
        <f t="shared" si="33"/>
        <v/>
      </c>
      <c r="BJ29" s="92" t="str">
        <f t="shared" si="33"/>
        <v/>
      </c>
      <c r="BK29" s="92" t="str">
        <f t="shared" si="33"/>
        <v/>
      </c>
      <c r="BL29" s="92" t="str">
        <f t="shared" si="33"/>
        <v/>
      </c>
      <c r="BM29" s="92" t="str">
        <f t="shared" si="33"/>
        <v/>
      </c>
      <c r="BN29" s="92" t="str">
        <f t="shared" si="33"/>
        <v/>
      </c>
      <c r="BO29" s="92" t="str">
        <f t="shared" si="33"/>
        <v/>
      </c>
      <c r="BP29" s="92" t="str">
        <f t="shared" si="33"/>
        <v/>
      </c>
      <c r="BQ29" s="93" t="str">
        <f t="shared" si="33"/>
        <v/>
      </c>
      <c r="BR29" s="11" t="s">
        <v>0</v>
      </c>
    </row>
    <row r="30" spans="1:70" ht="19.5" customHeight="1" outlineLevel="1">
      <c r="A30" s="307"/>
      <c r="B30" s="83" t="s">
        <v>490</v>
      </c>
      <c r="C30" s="84"/>
      <c r="D30" s="85"/>
      <c r="E30" s="35"/>
      <c r="F30" s="35" t="s">
        <v>491</v>
      </c>
      <c r="G30" s="35"/>
      <c r="H30" s="35"/>
      <c r="I30" s="38"/>
      <c r="J30" s="86"/>
      <c r="K30" s="87"/>
      <c r="L30" s="308" t="s">
        <v>454</v>
      </c>
      <c r="M30" s="32" t="s">
        <v>492</v>
      </c>
      <c r="N30" s="22"/>
      <c r="O30" s="32">
        <f t="shared" si="30"/>
        <v>50</v>
      </c>
      <c r="P30" s="31">
        <v>45128</v>
      </c>
      <c r="Q30" s="31">
        <v>45197</v>
      </c>
      <c r="R30" s="22"/>
      <c r="S30" s="32">
        <f t="shared" si="31"/>
        <v>57</v>
      </c>
      <c r="T30" s="31">
        <v>45119</v>
      </c>
      <c r="U30" s="31">
        <v>45197</v>
      </c>
      <c r="V30" s="22"/>
      <c r="W30" s="32">
        <f t="shared" si="32"/>
        <v>57</v>
      </c>
      <c r="X30" s="31">
        <v>45119</v>
      </c>
      <c r="Y30" s="31">
        <v>45197</v>
      </c>
      <c r="Z30" s="24"/>
      <c r="AA30" s="40"/>
      <c r="AB30" s="24"/>
      <c r="AC30" s="46"/>
      <c r="AD30" s="40" t="s">
        <v>464</v>
      </c>
      <c r="AE30" s="42"/>
      <c r="AF30" s="41"/>
      <c r="AG30" s="41" t="s">
        <v>493</v>
      </c>
      <c r="AH30" s="28"/>
      <c r="AI30" s="309" t="str">
        <f t="shared" ref="AI30:BQ30" si="34">IFERROR(IF(AND($T30&gt;=(EOMONTH(AI$8,-1)+1),$U30&lt;AJ$8,$I30="M"),"u",""),"")</f>
        <v/>
      </c>
      <c r="AJ30" s="89" t="str">
        <f t="shared" si="34"/>
        <v/>
      </c>
      <c r="AK30" s="89" t="str">
        <f t="shared" si="34"/>
        <v/>
      </c>
      <c r="AL30" s="89" t="str">
        <f t="shared" si="34"/>
        <v/>
      </c>
      <c r="AM30" s="89" t="str">
        <f t="shared" si="34"/>
        <v/>
      </c>
      <c r="AN30" s="89" t="str">
        <f t="shared" si="34"/>
        <v/>
      </c>
      <c r="AO30" s="89" t="str">
        <f t="shared" si="34"/>
        <v/>
      </c>
      <c r="AP30" s="89" t="str">
        <f t="shared" si="34"/>
        <v/>
      </c>
      <c r="AQ30" s="89" t="str">
        <f t="shared" si="34"/>
        <v/>
      </c>
      <c r="AR30" s="89" t="str">
        <f t="shared" si="34"/>
        <v/>
      </c>
      <c r="AS30" s="89" t="str">
        <f t="shared" si="34"/>
        <v/>
      </c>
      <c r="AT30" s="89" t="str">
        <f t="shared" si="34"/>
        <v/>
      </c>
      <c r="AU30" s="89" t="str">
        <f t="shared" si="34"/>
        <v/>
      </c>
      <c r="AV30" s="89" t="str">
        <f t="shared" si="34"/>
        <v/>
      </c>
      <c r="AW30" s="89" t="str">
        <f t="shared" si="34"/>
        <v/>
      </c>
      <c r="AX30" s="89" t="str">
        <f t="shared" si="34"/>
        <v/>
      </c>
      <c r="AY30" s="89" t="str">
        <f t="shared" si="34"/>
        <v/>
      </c>
      <c r="AZ30" s="89" t="str">
        <f t="shared" si="34"/>
        <v/>
      </c>
      <c r="BA30" s="89" t="str">
        <f t="shared" si="34"/>
        <v/>
      </c>
      <c r="BB30" s="89" t="str">
        <f t="shared" si="34"/>
        <v/>
      </c>
      <c r="BC30" s="89" t="str">
        <f t="shared" si="34"/>
        <v/>
      </c>
      <c r="BD30" s="89" t="str">
        <f t="shared" si="34"/>
        <v/>
      </c>
      <c r="BE30" s="89" t="str">
        <f t="shared" si="34"/>
        <v/>
      </c>
      <c r="BF30" s="89" t="str">
        <f t="shared" si="34"/>
        <v/>
      </c>
      <c r="BG30" s="89" t="str">
        <f t="shared" si="34"/>
        <v/>
      </c>
      <c r="BH30" s="89" t="str">
        <f t="shared" si="34"/>
        <v/>
      </c>
      <c r="BI30" s="89" t="str">
        <f t="shared" si="34"/>
        <v/>
      </c>
      <c r="BJ30" s="89" t="str">
        <f t="shared" si="34"/>
        <v/>
      </c>
      <c r="BK30" s="89" t="str">
        <f t="shared" si="34"/>
        <v/>
      </c>
      <c r="BL30" s="89" t="str">
        <f t="shared" si="34"/>
        <v/>
      </c>
      <c r="BM30" s="89" t="str">
        <f t="shared" si="34"/>
        <v/>
      </c>
      <c r="BN30" s="89" t="str">
        <f t="shared" si="34"/>
        <v/>
      </c>
      <c r="BO30" s="89" t="str">
        <f t="shared" si="34"/>
        <v/>
      </c>
      <c r="BP30" s="89" t="str">
        <f t="shared" si="34"/>
        <v/>
      </c>
      <c r="BQ30" s="90" t="str">
        <f t="shared" si="34"/>
        <v/>
      </c>
      <c r="BR30" s="11" t="s">
        <v>0</v>
      </c>
    </row>
    <row r="31" spans="1:70" ht="19.5" customHeight="1" outlineLevel="1">
      <c r="A31" s="307"/>
      <c r="B31" s="83" t="s">
        <v>494</v>
      </c>
      <c r="C31" s="84"/>
      <c r="D31" s="85"/>
      <c r="E31" s="35"/>
      <c r="F31" s="35" t="s">
        <v>495</v>
      </c>
      <c r="G31" s="35"/>
      <c r="H31" s="35"/>
      <c r="I31" s="38"/>
      <c r="J31" s="86"/>
      <c r="K31" s="87"/>
      <c r="L31" s="308" t="s">
        <v>454</v>
      </c>
      <c r="M31" s="32" t="s">
        <v>492</v>
      </c>
      <c r="N31" s="22"/>
      <c r="O31" s="32">
        <f t="shared" si="30"/>
        <v>50</v>
      </c>
      <c r="P31" s="31">
        <f t="shared" ref="P31:Q31" si="35">P30</f>
        <v>45128</v>
      </c>
      <c r="Q31" s="31">
        <f t="shared" si="35"/>
        <v>45197</v>
      </c>
      <c r="R31" s="22"/>
      <c r="S31" s="32">
        <f t="shared" si="31"/>
        <v>57</v>
      </c>
      <c r="T31" s="31">
        <f t="shared" ref="T31:U31" si="36">T30</f>
        <v>45119</v>
      </c>
      <c r="U31" s="31">
        <f t="shared" si="36"/>
        <v>45197</v>
      </c>
      <c r="V31" s="22"/>
      <c r="W31" s="32">
        <f t="shared" si="32"/>
        <v>57</v>
      </c>
      <c r="X31" s="53">
        <f t="shared" ref="X31:Y31" si="37">X30</f>
        <v>45119</v>
      </c>
      <c r="Y31" s="31">
        <f t="shared" si="37"/>
        <v>45197</v>
      </c>
      <c r="Z31" s="24"/>
      <c r="AA31" s="40"/>
      <c r="AB31" s="24"/>
      <c r="AC31" s="46"/>
      <c r="AD31" s="40" t="s">
        <v>464</v>
      </c>
      <c r="AE31" s="40"/>
      <c r="AF31" s="41"/>
      <c r="AG31" s="41" t="s">
        <v>493</v>
      </c>
      <c r="AH31" s="28"/>
      <c r="AI31" s="309" t="str">
        <f t="shared" ref="AI31:BQ31" si="38">IFERROR(IF(AND($T31&gt;=(EOMONTH(AI$8,-1)+1),$U31&lt;AJ$8,$I31="M"),"u",""),"")</f>
        <v/>
      </c>
      <c r="AJ31" s="89" t="str">
        <f t="shared" si="38"/>
        <v/>
      </c>
      <c r="AK31" s="89" t="str">
        <f t="shared" si="38"/>
        <v/>
      </c>
      <c r="AL31" s="89" t="str">
        <f t="shared" si="38"/>
        <v/>
      </c>
      <c r="AM31" s="89" t="str">
        <f t="shared" si="38"/>
        <v/>
      </c>
      <c r="AN31" s="89" t="str">
        <f t="shared" si="38"/>
        <v/>
      </c>
      <c r="AO31" s="89" t="str">
        <f t="shared" si="38"/>
        <v/>
      </c>
      <c r="AP31" s="89" t="str">
        <f t="shared" si="38"/>
        <v/>
      </c>
      <c r="AQ31" s="89" t="str">
        <f t="shared" si="38"/>
        <v/>
      </c>
      <c r="AR31" s="89" t="str">
        <f t="shared" si="38"/>
        <v/>
      </c>
      <c r="AS31" s="89" t="str">
        <f t="shared" si="38"/>
        <v/>
      </c>
      <c r="AT31" s="89" t="str">
        <f t="shared" si="38"/>
        <v/>
      </c>
      <c r="AU31" s="89" t="str">
        <f t="shared" si="38"/>
        <v/>
      </c>
      <c r="AV31" s="89" t="str">
        <f t="shared" si="38"/>
        <v/>
      </c>
      <c r="AW31" s="89" t="str">
        <f t="shared" si="38"/>
        <v/>
      </c>
      <c r="AX31" s="89" t="str">
        <f t="shared" si="38"/>
        <v/>
      </c>
      <c r="AY31" s="89" t="str">
        <f t="shared" si="38"/>
        <v/>
      </c>
      <c r="AZ31" s="89" t="str">
        <f t="shared" si="38"/>
        <v/>
      </c>
      <c r="BA31" s="89" t="str">
        <f t="shared" si="38"/>
        <v/>
      </c>
      <c r="BB31" s="89" t="str">
        <f t="shared" si="38"/>
        <v/>
      </c>
      <c r="BC31" s="89" t="str">
        <f t="shared" si="38"/>
        <v/>
      </c>
      <c r="BD31" s="89" t="str">
        <f t="shared" si="38"/>
        <v/>
      </c>
      <c r="BE31" s="89" t="str">
        <f t="shared" si="38"/>
        <v/>
      </c>
      <c r="BF31" s="89" t="str">
        <f t="shared" si="38"/>
        <v/>
      </c>
      <c r="BG31" s="89" t="str">
        <f t="shared" si="38"/>
        <v/>
      </c>
      <c r="BH31" s="89" t="str">
        <f t="shared" si="38"/>
        <v/>
      </c>
      <c r="BI31" s="89" t="str">
        <f t="shared" si="38"/>
        <v/>
      </c>
      <c r="BJ31" s="89" t="str">
        <f t="shared" si="38"/>
        <v/>
      </c>
      <c r="BK31" s="89" t="str">
        <f t="shared" si="38"/>
        <v/>
      </c>
      <c r="BL31" s="89" t="str">
        <f t="shared" si="38"/>
        <v/>
      </c>
      <c r="BM31" s="89" t="str">
        <f t="shared" si="38"/>
        <v/>
      </c>
      <c r="BN31" s="89" t="str">
        <f t="shared" si="38"/>
        <v/>
      </c>
      <c r="BO31" s="89" t="str">
        <f t="shared" si="38"/>
        <v/>
      </c>
      <c r="BP31" s="89" t="str">
        <f t="shared" si="38"/>
        <v/>
      </c>
      <c r="BQ31" s="90" t="str">
        <f t="shared" si="38"/>
        <v/>
      </c>
      <c r="BR31" s="11" t="s">
        <v>0</v>
      </c>
    </row>
    <row r="32" spans="1:70" ht="19.5" customHeight="1" outlineLevel="1">
      <c r="A32" s="307"/>
      <c r="B32" s="83" t="s">
        <v>496</v>
      </c>
      <c r="C32" s="84"/>
      <c r="D32" s="85"/>
      <c r="E32" s="35"/>
      <c r="F32" s="35" t="s">
        <v>497</v>
      </c>
      <c r="G32" s="35"/>
      <c r="H32" s="35"/>
      <c r="I32" s="38"/>
      <c r="J32" s="86"/>
      <c r="K32" s="87"/>
      <c r="L32" s="308" t="s">
        <v>454</v>
      </c>
      <c r="M32" s="32" t="s">
        <v>492</v>
      </c>
      <c r="N32" s="22"/>
      <c r="O32" s="32">
        <f t="shared" si="30"/>
        <v>25</v>
      </c>
      <c r="P32" s="31">
        <v>45337</v>
      </c>
      <c r="Q32" s="31">
        <f>Y32</f>
        <v>45371</v>
      </c>
      <c r="R32" s="22"/>
      <c r="S32" s="32">
        <f t="shared" si="31"/>
        <v>-32384</v>
      </c>
      <c r="T32" s="31">
        <v>45337</v>
      </c>
      <c r="U32" s="31">
        <f>K32</f>
        <v>0</v>
      </c>
      <c r="V32" s="22"/>
      <c r="W32" s="32">
        <f t="shared" si="32"/>
        <v>25</v>
      </c>
      <c r="X32" s="53">
        <v>45337</v>
      </c>
      <c r="Y32" s="31">
        <v>45371</v>
      </c>
      <c r="Z32" s="24"/>
      <c r="AA32" s="40"/>
      <c r="AB32" s="24"/>
      <c r="AC32" s="46"/>
      <c r="AD32" s="40" t="s">
        <v>464</v>
      </c>
      <c r="AE32" s="42"/>
      <c r="AF32" s="41"/>
      <c r="AG32" s="41" t="s">
        <v>498</v>
      </c>
      <c r="AH32" s="28"/>
      <c r="AI32" s="309" t="str">
        <f t="shared" ref="AI32:BQ32" si="39">IFERROR(IF(AND($T32&gt;=(EOMONTH(AI$8,-1)+1),$U32&lt;AJ$8,$I32="M"),"u",""),"")</f>
        <v/>
      </c>
      <c r="AJ32" s="89" t="str">
        <f t="shared" si="39"/>
        <v/>
      </c>
      <c r="AK32" s="89" t="str">
        <f t="shared" si="39"/>
        <v/>
      </c>
      <c r="AL32" s="89" t="str">
        <f t="shared" si="39"/>
        <v/>
      </c>
      <c r="AM32" s="89" t="str">
        <f t="shared" si="39"/>
        <v/>
      </c>
      <c r="AN32" s="89" t="str">
        <f t="shared" si="39"/>
        <v/>
      </c>
      <c r="AO32" s="89" t="str">
        <f t="shared" si="39"/>
        <v/>
      </c>
      <c r="AP32" s="89" t="str">
        <f t="shared" si="39"/>
        <v/>
      </c>
      <c r="AQ32" s="89" t="str">
        <f t="shared" si="39"/>
        <v/>
      </c>
      <c r="AR32" s="89" t="str">
        <f t="shared" si="39"/>
        <v/>
      </c>
      <c r="AS32" s="89" t="str">
        <f t="shared" si="39"/>
        <v/>
      </c>
      <c r="AT32" s="89" t="str">
        <f t="shared" si="39"/>
        <v/>
      </c>
      <c r="AU32" s="89" t="str">
        <f t="shared" si="39"/>
        <v/>
      </c>
      <c r="AV32" s="89" t="str">
        <f t="shared" si="39"/>
        <v/>
      </c>
      <c r="AW32" s="89" t="str">
        <f t="shared" si="39"/>
        <v/>
      </c>
      <c r="AX32" s="89" t="str">
        <f t="shared" si="39"/>
        <v/>
      </c>
      <c r="AY32" s="89" t="str">
        <f t="shared" si="39"/>
        <v/>
      </c>
      <c r="AZ32" s="89" t="str">
        <f t="shared" si="39"/>
        <v/>
      </c>
      <c r="BA32" s="89" t="str">
        <f t="shared" si="39"/>
        <v/>
      </c>
      <c r="BB32" s="89" t="str">
        <f t="shared" si="39"/>
        <v/>
      </c>
      <c r="BC32" s="89" t="str">
        <f t="shared" si="39"/>
        <v/>
      </c>
      <c r="BD32" s="89" t="str">
        <f t="shared" si="39"/>
        <v/>
      </c>
      <c r="BE32" s="89" t="str">
        <f t="shared" si="39"/>
        <v/>
      </c>
      <c r="BF32" s="89" t="str">
        <f t="shared" si="39"/>
        <v/>
      </c>
      <c r="BG32" s="89" t="str">
        <f t="shared" si="39"/>
        <v/>
      </c>
      <c r="BH32" s="89" t="str">
        <f t="shared" si="39"/>
        <v/>
      </c>
      <c r="BI32" s="89" t="str">
        <f t="shared" si="39"/>
        <v/>
      </c>
      <c r="BJ32" s="89" t="str">
        <f t="shared" si="39"/>
        <v/>
      </c>
      <c r="BK32" s="89" t="str">
        <f t="shared" si="39"/>
        <v/>
      </c>
      <c r="BL32" s="89" t="str">
        <f t="shared" si="39"/>
        <v/>
      </c>
      <c r="BM32" s="89" t="str">
        <f t="shared" si="39"/>
        <v/>
      </c>
      <c r="BN32" s="89" t="str">
        <f t="shared" si="39"/>
        <v/>
      </c>
      <c r="BO32" s="89" t="str">
        <f t="shared" si="39"/>
        <v/>
      </c>
      <c r="BP32" s="89" t="str">
        <f t="shared" si="39"/>
        <v/>
      </c>
      <c r="BQ32" s="90" t="str">
        <f t="shared" si="39"/>
        <v/>
      </c>
      <c r="BR32" s="11" t="s">
        <v>0</v>
      </c>
    </row>
    <row r="33" spans="1:70" ht="19.5" customHeight="1" outlineLevel="1">
      <c r="A33" s="307"/>
      <c r="B33" s="83" t="s">
        <v>499</v>
      </c>
      <c r="C33" s="84"/>
      <c r="D33" s="85"/>
      <c r="E33" s="35"/>
      <c r="F33" s="91" t="s">
        <v>500</v>
      </c>
      <c r="G33" s="91"/>
      <c r="H33" s="35"/>
      <c r="I33" s="38"/>
      <c r="J33" s="86"/>
      <c r="K33" s="87"/>
      <c r="L33" s="308" t="s">
        <v>454</v>
      </c>
      <c r="M33" s="32" t="s">
        <v>492</v>
      </c>
      <c r="N33" s="22"/>
      <c r="O33" s="32">
        <f t="shared" si="30"/>
        <v>50</v>
      </c>
      <c r="P33" s="31">
        <f t="shared" ref="P33:Q33" si="40">P31</f>
        <v>45128</v>
      </c>
      <c r="Q33" s="31">
        <f t="shared" si="40"/>
        <v>45197</v>
      </c>
      <c r="R33" s="22"/>
      <c r="S33" s="32">
        <f t="shared" si="31"/>
        <v>57</v>
      </c>
      <c r="T33" s="31">
        <f t="shared" ref="T33:U33" si="41">T31</f>
        <v>45119</v>
      </c>
      <c r="U33" s="31">
        <f t="shared" si="41"/>
        <v>45197</v>
      </c>
      <c r="V33" s="22"/>
      <c r="W33" s="32">
        <f t="shared" si="32"/>
        <v>57</v>
      </c>
      <c r="X33" s="53">
        <f t="shared" ref="X33:Y33" si="42">X31</f>
        <v>45119</v>
      </c>
      <c r="Y33" s="31">
        <f t="shared" si="42"/>
        <v>45197</v>
      </c>
      <c r="Z33" s="24"/>
      <c r="AA33" s="40"/>
      <c r="AB33" s="24"/>
      <c r="AC33" s="46"/>
      <c r="AD33" s="40" t="s">
        <v>464</v>
      </c>
      <c r="AE33" s="40"/>
      <c r="AF33" s="41"/>
      <c r="AG33" s="41" t="s">
        <v>493</v>
      </c>
      <c r="AH33" s="28"/>
      <c r="AI33" s="309" t="str">
        <f t="shared" ref="AI33:BQ33" si="43">IFERROR(IF(AND($T33&gt;=(EOMONTH(AI$8,-1)+1),$U33&lt;AJ$8,$I33="M"),"u",""),"")</f>
        <v/>
      </c>
      <c r="AJ33" s="89" t="str">
        <f t="shared" si="43"/>
        <v/>
      </c>
      <c r="AK33" s="89" t="str">
        <f t="shared" si="43"/>
        <v/>
      </c>
      <c r="AL33" s="89" t="str">
        <f t="shared" si="43"/>
        <v/>
      </c>
      <c r="AM33" s="89" t="str">
        <f t="shared" si="43"/>
        <v/>
      </c>
      <c r="AN33" s="89" t="str">
        <f t="shared" si="43"/>
        <v/>
      </c>
      <c r="AO33" s="89" t="str">
        <f t="shared" si="43"/>
        <v/>
      </c>
      <c r="AP33" s="89" t="str">
        <f t="shared" si="43"/>
        <v/>
      </c>
      <c r="AQ33" s="89" t="str">
        <f t="shared" si="43"/>
        <v/>
      </c>
      <c r="AR33" s="89" t="str">
        <f t="shared" si="43"/>
        <v/>
      </c>
      <c r="AS33" s="89" t="str">
        <f t="shared" si="43"/>
        <v/>
      </c>
      <c r="AT33" s="89" t="str">
        <f t="shared" si="43"/>
        <v/>
      </c>
      <c r="AU33" s="89" t="str">
        <f t="shared" si="43"/>
        <v/>
      </c>
      <c r="AV33" s="89" t="str">
        <f t="shared" si="43"/>
        <v/>
      </c>
      <c r="AW33" s="89" t="str">
        <f t="shared" si="43"/>
        <v/>
      </c>
      <c r="AX33" s="89" t="str">
        <f t="shared" si="43"/>
        <v/>
      </c>
      <c r="AY33" s="89" t="str">
        <f t="shared" si="43"/>
        <v/>
      </c>
      <c r="AZ33" s="89" t="str">
        <f t="shared" si="43"/>
        <v/>
      </c>
      <c r="BA33" s="89" t="str">
        <f t="shared" si="43"/>
        <v/>
      </c>
      <c r="BB33" s="89" t="str">
        <f t="shared" si="43"/>
        <v/>
      </c>
      <c r="BC33" s="89" t="str">
        <f t="shared" si="43"/>
        <v/>
      </c>
      <c r="BD33" s="89" t="str">
        <f t="shared" si="43"/>
        <v/>
      </c>
      <c r="BE33" s="89" t="str">
        <f t="shared" si="43"/>
        <v/>
      </c>
      <c r="BF33" s="89" t="str">
        <f t="shared" si="43"/>
        <v/>
      </c>
      <c r="BG33" s="89" t="str">
        <f t="shared" si="43"/>
        <v/>
      </c>
      <c r="BH33" s="89" t="str">
        <f t="shared" si="43"/>
        <v/>
      </c>
      <c r="BI33" s="89" t="str">
        <f t="shared" si="43"/>
        <v/>
      </c>
      <c r="BJ33" s="89" t="str">
        <f t="shared" si="43"/>
        <v/>
      </c>
      <c r="BK33" s="89" t="str">
        <f t="shared" si="43"/>
        <v/>
      </c>
      <c r="BL33" s="89" t="str">
        <f t="shared" si="43"/>
        <v/>
      </c>
      <c r="BM33" s="89" t="str">
        <f t="shared" si="43"/>
        <v/>
      </c>
      <c r="BN33" s="89" t="str">
        <f t="shared" si="43"/>
        <v/>
      </c>
      <c r="BO33" s="89" t="str">
        <f t="shared" si="43"/>
        <v/>
      </c>
      <c r="BP33" s="89" t="str">
        <f t="shared" si="43"/>
        <v/>
      </c>
      <c r="BQ33" s="90" t="str">
        <f t="shared" si="43"/>
        <v/>
      </c>
      <c r="BR33" s="11" t="s">
        <v>0</v>
      </c>
    </row>
    <row r="34" spans="1:70" ht="19.5" customHeight="1">
      <c r="A34" s="307">
        <v>2.2999999999999998</v>
      </c>
      <c r="B34" s="83"/>
      <c r="C34" s="84"/>
      <c r="D34" s="85"/>
      <c r="E34" s="35" t="s">
        <v>501</v>
      </c>
      <c r="F34" s="35"/>
      <c r="G34" s="35"/>
      <c r="H34" s="35"/>
      <c r="I34" s="38"/>
      <c r="J34" s="86" t="s">
        <v>502</v>
      </c>
      <c r="K34" s="87" t="s">
        <v>503</v>
      </c>
      <c r="L34" s="249"/>
      <c r="M34" s="32"/>
      <c r="N34" s="22"/>
      <c r="O34" s="32">
        <f t="shared" si="30"/>
        <v>270</v>
      </c>
      <c r="P34" s="31">
        <f>MIN(P35:P38)</f>
        <v>45035</v>
      </c>
      <c r="Q34" s="31">
        <f>MAX(Q35:Q38)</f>
        <v>45412</v>
      </c>
      <c r="R34" s="22"/>
      <c r="S34" s="32">
        <f t="shared" si="31"/>
        <v>270</v>
      </c>
      <c r="T34" s="31">
        <f>MIN(T35:T38)</f>
        <v>45035</v>
      </c>
      <c r="U34" s="31">
        <f>MAX(U35:U38)</f>
        <v>45412</v>
      </c>
      <c r="V34" s="22"/>
      <c r="W34" s="32">
        <f t="shared" si="32"/>
        <v>351</v>
      </c>
      <c r="X34" s="31">
        <f>MIN(X35:X38)</f>
        <v>45035</v>
      </c>
      <c r="Y34" s="31">
        <f>MAX(Y35:Y38)</f>
        <v>45525</v>
      </c>
      <c r="Z34" s="24"/>
      <c r="AA34" s="40"/>
      <c r="AB34" s="24"/>
      <c r="AC34" s="46"/>
      <c r="AD34" s="40"/>
      <c r="AE34" s="40"/>
      <c r="AF34" s="41"/>
      <c r="AG34" s="41"/>
      <c r="AH34" s="28"/>
      <c r="AI34" s="291" t="str">
        <f t="shared" ref="AI34:BQ34" si="44">IFERROR(IF(AND($T34&gt;=(EOMONTH(AI$8,-1)+1),$U34&lt;AJ$8,$I34="M"),"u",""),"")</f>
        <v/>
      </c>
      <c r="AJ34" s="81" t="str">
        <f t="shared" si="44"/>
        <v/>
      </c>
      <c r="AK34" s="81" t="str">
        <f t="shared" si="44"/>
        <v/>
      </c>
      <c r="AL34" s="81" t="str">
        <f t="shared" si="44"/>
        <v/>
      </c>
      <c r="AM34" s="81" t="str">
        <f t="shared" si="44"/>
        <v/>
      </c>
      <c r="AN34" s="81" t="str">
        <f t="shared" si="44"/>
        <v/>
      </c>
      <c r="AO34" s="81" t="str">
        <f t="shared" si="44"/>
        <v/>
      </c>
      <c r="AP34" s="81" t="str">
        <f t="shared" si="44"/>
        <v/>
      </c>
      <c r="AQ34" s="81" t="str">
        <f t="shared" si="44"/>
        <v/>
      </c>
      <c r="AR34" s="81" t="str">
        <f t="shared" si="44"/>
        <v/>
      </c>
      <c r="AS34" s="81" t="str">
        <f t="shared" si="44"/>
        <v/>
      </c>
      <c r="AT34" s="81" t="str">
        <f t="shared" si="44"/>
        <v/>
      </c>
      <c r="AU34" s="81" t="str">
        <f t="shared" si="44"/>
        <v/>
      </c>
      <c r="AV34" s="81" t="str">
        <f t="shared" si="44"/>
        <v/>
      </c>
      <c r="AW34" s="81" t="str">
        <f t="shared" si="44"/>
        <v/>
      </c>
      <c r="AX34" s="81" t="str">
        <f t="shared" si="44"/>
        <v/>
      </c>
      <c r="AY34" s="81" t="str">
        <f t="shared" si="44"/>
        <v/>
      </c>
      <c r="AZ34" s="81" t="str">
        <f t="shared" si="44"/>
        <v/>
      </c>
      <c r="BA34" s="81" t="str">
        <f t="shared" si="44"/>
        <v/>
      </c>
      <c r="BB34" s="81" t="str">
        <f t="shared" si="44"/>
        <v/>
      </c>
      <c r="BC34" s="81" t="str">
        <f t="shared" si="44"/>
        <v/>
      </c>
      <c r="BD34" s="81" t="str">
        <f t="shared" si="44"/>
        <v/>
      </c>
      <c r="BE34" s="81" t="str">
        <f t="shared" si="44"/>
        <v/>
      </c>
      <c r="BF34" s="81" t="str">
        <f t="shared" si="44"/>
        <v/>
      </c>
      <c r="BG34" s="81" t="str">
        <f t="shared" si="44"/>
        <v/>
      </c>
      <c r="BH34" s="81" t="str">
        <f t="shared" si="44"/>
        <v/>
      </c>
      <c r="BI34" s="81" t="str">
        <f t="shared" si="44"/>
        <v/>
      </c>
      <c r="BJ34" s="81" t="str">
        <f t="shared" si="44"/>
        <v/>
      </c>
      <c r="BK34" s="81" t="str">
        <f t="shared" si="44"/>
        <v/>
      </c>
      <c r="BL34" s="81" t="str">
        <f t="shared" si="44"/>
        <v/>
      </c>
      <c r="BM34" s="81" t="str">
        <f t="shared" si="44"/>
        <v/>
      </c>
      <c r="BN34" s="81" t="str">
        <f t="shared" si="44"/>
        <v/>
      </c>
      <c r="BO34" s="81" t="str">
        <f t="shared" si="44"/>
        <v/>
      </c>
      <c r="BP34" s="81" t="str">
        <f t="shared" si="44"/>
        <v/>
      </c>
      <c r="BQ34" s="82" t="str">
        <f t="shared" si="44"/>
        <v/>
      </c>
      <c r="BR34" s="11" t="s">
        <v>0</v>
      </c>
    </row>
    <row r="35" spans="1:70" ht="19.5" customHeight="1" outlineLevel="1">
      <c r="A35" s="307"/>
      <c r="B35" s="83" t="s">
        <v>504</v>
      </c>
      <c r="C35" s="84"/>
      <c r="D35" s="85"/>
      <c r="E35" s="35"/>
      <c r="F35" s="35" t="s">
        <v>505</v>
      </c>
      <c r="G35" s="35"/>
      <c r="H35" s="35"/>
      <c r="I35" s="38"/>
      <c r="J35" s="86" t="s">
        <v>506</v>
      </c>
      <c r="K35" s="87"/>
      <c r="L35" s="249" t="s">
        <v>507</v>
      </c>
      <c r="M35" s="100" t="s">
        <v>454</v>
      </c>
      <c r="N35" s="22"/>
      <c r="O35" s="32">
        <f t="shared" si="30"/>
        <v>213</v>
      </c>
      <c r="P35" s="31">
        <v>45035</v>
      </c>
      <c r="Q35" s="101">
        <f>P36</f>
        <v>45331</v>
      </c>
      <c r="R35" s="22"/>
      <c r="S35" s="32">
        <f t="shared" si="31"/>
        <v>213</v>
      </c>
      <c r="T35" s="31">
        <v>45035</v>
      </c>
      <c r="U35" s="101">
        <f>T36</f>
        <v>45331</v>
      </c>
      <c r="V35" s="22"/>
      <c r="W35" s="32">
        <f t="shared" si="32"/>
        <v>213</v>
      </c>
      <c r="X35" s="53">
        <v>45035</v>
      </c>
      <c r="Y35" s="321">
        <f>X36</f>
        <v>45331</v>
      </c>
      <c r="Z35" s="24">
        <f t="shared" ref="Z35:Z37" si="45">Y35-X35</f>
        <v>296</v>
      </c>
      <c r="AA35" s="40" t="s">
        <v>508</v>
      </c>
      <c r="AB35" s="24"/>
      <c r="AC35" s="46">
        <v>1</v>
      </c>
      <c r="AD35" s="40" t="s">
        <v>509</v>
      </c>
      <c r="AE35" s="40"/>
      <c r="AF35" s="41"/>
      <c r="AG35" s="41"/>
      <c r="AH35" s="28"/>
      <c r="AI35" s="309" t="str">
        <f t="shared" ref="AI35:BQ35" si="46">IFERROR(IF(AND($T35&gt;=(EOMONTH(AI$8,-1)+1),$U35&lt;AJ$8,$I35="M"),"u",""),"")</f>
        <v/>
      </c>
      <c r="AJ35" s="89" t="str">
        <f t="shared" si="46"/>
        <v/>
      </c>
      <c r="AK35" s="89" t="str">
        <f t="shared" si="46"/>
        <v/>
      </c>
      <c r="AL35" s="89" t="str">
        <f t="shared" si="46"/>
        <v/>
      </c>
      <c r="AM35" s="89" t="str">
        <f t="shared" si="46"/>
        <v/>
      </c>
      <c r="AN35" s="89" t="str">
        <f t="shared" si="46"/>
        <v/>
      </c>
      <c r="AO35" s="89" t="str">
        <f t="shared" si="46"/>
        <v/>
      </c>
      <c r="AP35" s="89" t="str">
        <f t="shared" si="46"/>
        <v/>
      </c>
      <c r="AQ35" s="89" t="str">
        <f t="shared" si="46"/>
        <v/>
      </c>
      <c r="AR35" s="89" t="str">
        <f t="shared" si="46"/>
        <v/>
      </c>
      <c r="AS35" s="89" t="str">
        <f t="shared" si="46"/>
        <v/>
      </c>
      <c r="AT35" s="89" t="str">
        <f t="shared" si="46"/>
        <v/>
      </c>
      <c r="AU35" s="89" t="str">
        <f t="shared" si="46"/>
        <v/>
      </c>
      <c r="AV35" s="89" t="str">
        <f t="shared" si="46"/>
        <v/>
      </c>
      <c r="AW35" s="89" t="str">
        <f t="shared" si="46"/>
        <v/>
      </c>
      <c r="AX35" s="89" t="str">
        <f t="shared" si="46"/>
        <v/>
      </c>
      <c r="AY35" s="89" t="str">
        <f t="shared" si="46"/>
        <v/>
      </c>
      <c r="AZ35" s="89" t="str">
        <f t="shared" si="46"/>
        <v/>
      </c>
      <c r="BA35" s="89" t="str">
        <f t="shared" si="46"/>
        <v/>
      </c>
      <c r="BB35" s="89" t="str">
        <f t="shared" si="46"/>
        <v/>
      </c>
      <c r="BC35" s="89" t="str">
        <f t="shared" si="46"/>
        <v/>
      </c>
      <c r="BD35" s="89" t="str">
        <f t="shared" si="46"/>
        <v/>
      </c>
      <c r="BE35" s="89" t="str">
        <f t="shared" si="46"/>
        <v/>
      </c>
      <c r="BF35" s="89" t="str">
        <f t="shared" si="46"/>
        <v/>
      </c>
      <c r="BG35" s="89" t="str">
        <f t="shared" si="46"/>
        <v/>
      </c>
      <c r="BH35" s="89" t="str">
        <f t="shared" si="46"/>
        <v/>
      </c>
      <c r="BI35" s="89" t="str">
        <f t="shared" si="46"/>
        <v/>
      </c>
      <c r="BJ35" s="89" t="str">
        <f t="shared" si="46"/>
        <v/>
      </c>
      <c r="BK35" s="89" t="str">
        <f t="shared" si="46"/>
        <v/>
      </c>
      <c r="BL35" s="89" t="str">
        <f t="shared" si="46"/>
        <v/>
      </c>
      <c r="BM35" s="89" t="str">
        <f t="shared" si="46"/>
        <v/>
      </c>
      <c r="BN35" s="89" t="str">
        <f t="shared" si="46"/>
        <v/>
      </c>
      <c r="BO35" s="89" t="str">
        <f t="shared" si="46"/>
        <v/>
      </c>
      <c r="BP35" s="89" t="str">
        <f t="shared" si="46"/>
        <v/>
      </c>
      <c r="BQ35" s="90" t="str">
        <f t="shared" si="46"/>
        <v/>
      </c>
      <c r="BR35" s="11" t="s">
        <v>0</v>
      </c>
    </row>
    <row r="36" spans="1:70" ht="19.5" customHeight="1" outlineLevel="1">
      <c r="A36" s="307"/>
      <c r="B36" s="83" t="s">
        <v>510</v>
      </c>
      <c r="C36" s="84"/>
      <c r="D36" s="85"/>
      <c r="E36" s="35"/>
      <c r="F36" s="35" t="s">
        <v>511</v>
      </c>
      <c r="G36" s="35"/>
      <c r="H36" s="35"/>
      <c r="I36" s="38"/>
      <c r="J36" s="86" t="s">
        <v>512</v>
      </c>
      <c r="K36" s="87"/>
      <c r="L36" s="249" t="s">
        <v>507</v>
      </c>
      <c r="M36" s="100" t="s">
        <v>454</v>
      </c>
      <c r="N36" s="22"/>
      <c r="O36" s="32">
        <v>50</v>
      </c>
      <c r="P36" s="31">
        <v>45331</v>
      </c>
      <c r="Q36" s="31">
        <f t="shared" ref="Q36:Q37" si="47">IF(O36&lt;&gt;"",WORKDAY(P36,O36-1),"")</f>
        <v>45400</v>
      </c>
      <c r="R36" s="22"/>
      <c r="S36" s="32">
        <v>50</v>
      </c>
      <c r="T36" s="31">
        <v>45331</v>
      </c>
      <c r="U36" s="31">
        <f t="shared" ref="U36:U37" si="48">IF(S36&lt;&gt;"",WORKDAY(T36,S36-1),"")</f>
        <v>45400</v>
      </c>
      <c r="V36" s="22"/>
      <c r="W36" s="32">
        <v>50</v>
      </c>
      <c r="X36" s="31">
        <v>45331</v>
      </c>
      <c r="Y36" s="31">
        <f t="shared" ref="Y36:Y37" si="49">IF(W36&lt;&gt;"",WORKDAY(X36,W36-1),"")</f>
        <v>45400</v>
      </c>
      <c r="Z36" s="24">
        <f t="shared" si="45"/>
        <v>69</v>
      </c>
      <c r="AA36" s="40" t="s">
        <v>513</v>
      </c>
      <c r="AB36" s="24"/>
      <c r="AC36" s="46">
        <v>1</v>
      </c>
      <c r="AD36" s="40" t="s">
        <v>514</v>
      </c>
      <c r="AE36" s="40"/>
      <c r="AF36" s="41"/>
      <c r="AG36" s="41"/>
      <c r="AH36" s="28"/>
      <c r="AI36" s="309" t="str">
        <f t="shared" ref="AI36:BQ36" si="50">IFERROR(IF(AND($T36&gt;=(EOMONTH(AI$8,-1)+1),$U36&lt;AJ$8,$I36="M"),"u",""),"")</f>
        <v/>
      </c>
      <c r="AJ36" s="89" t="str">
        <f t="shared" si="50"/>
        <v/>
      </c>
      <c r="AK36" s="89" t="str">
        <f t="shared" si="50"/>
        <v/>
      </c>
      <c r="AL36" s="89" t="str">
        <f t="shared" si="50"/>
        <v/>
      </c>
      <c r="AM36" s="89" t="str">
        <f t="shared" si="50"/>
        <v/>
      </c>
      <c r="AN36" s="89" t="str">
        <f t="shared" si="50"/>
        <v/>
      </c>
      <c r="AO36" s="89" t="str">
        <f t="shared" si="50"/>
        <v/>
      </c>
      <c r="AP36" s="89" t="str">
        <f t="shared" si="50"/>
        <v/>
      </c>
      <c r="AQ36" s="89" t="str">
        <f t="shared" si="50"/>
        <v/>
      </c>
      <c r="AR36" s="89" t="str">
        <f t="shared" si="50"/>
        <v/>
      </c>
      <c r="AS36" s="89" t="str">
        <f t="shared" si="50"/>
        <v/>
      </c>
      <c r="AT36" s="89" t="str">
        <f t="shared" si="50"/>
        <v/>
      </c>
      <c r="AU36" s="89" t="str">
        <f t="shared" si="50"/>
        <v/>
      </c>
      <c r="AV36" s="89" t="str">
        <f t="shared" si="50"/>
        <v/>
      </c>
      <c r="AW36" s="89" t="str">
        <f t="shared" si="50"/>
        <v/>
      </c>
      <c r="AX36" s="89" t="str">
        <f t="shared" si="50"/>
        <v/>
      </c>
      <c r="AY36" s="89" t="str">
        <f t="shared" si="50"/>
        <v/>
      </c>
      <c r="AZ36" s="89" t="str">
        <f t="shared" si="50"/>
        <v/>
      </c>
      <c r="BA36" s="89" t="str">
        <f t="shared" si="50"/>
        <v/>
      </c>
      <c r="BB36" s="89" t="str">
        <f t="shared" si="50"/>
        <v/>
      </c>
      <c r="BC36" s="89" t="str">
        <f t="shared" si="50"/>
        <v/>
      </c>
      <c r="BD36" s="89" t="str">
        <f t="shared" si="50"/>
        <v/>
      </c>
      <c r="BE36" s="89" t="str">
        <f t="shared" si="50"/>
        <v/>
      </c>
      <c r="BF36" s="89" t="str">
        <f t="shared" si="50"/>
        <v/>
      </c>
      <c r="BG36" s="89" t="str">
        <f t="shared" si="50"/>
        <v/>
      </c>
      <c r="BH36" s="89" t="str">
        <f t="shared" si="50"/>
        <v/>
      </c>
      <c r="BI36" s="89" t="str">
        <f t="shared" si="50"/>
        <v/>
      </c>
      <c r="BJ36" s="89" t="str">
        <f t="shared" si="50"/>
        <v/>
      </c>
      <c r="BK36" s="89" t="str">
        <f t="shared" si="50"/>
        <v/>
      </c>
      <c r="BL36" s="89" t="str">
        <f t="shared" si="50"/>
        <v/>
      </c>
      <c r="BM36" s="89" t="str">
        <f t="shared" si="50"/>
        <v/>
      </c>
      <c r="BN36" s="89" t="str">
        <f t="shared" si="50"/>
        <v/>
      </c>
      <c r="BO36" s="89" t="str">
        <f t="shared" si="50"/>
        <v/>
      </c>
      <c r="BP36" s="89" t="str">
        <f t="shared" si="50"/>
        <v/>
      </c>
      <c r="BQ36" s="90" t="str">
        <f t="shared" si="50"/>
        <v/>
      </c>
      <c r="BR36" s="11" t="s">
        <v>0</v>
      </c>
    </row>
    <row r="37" spans="1:70" ht="19.5" customHeight="1" outlineLevel="1">
      <c r="A37" s="307"/>
      <c r="B37" s="83" t="s">
        <v>515</v>
      </c>
      <c r="C37" s="84"/>
      <c r="D37" s="85"/>
      <c r="E37" s="35"/>
      <c r="F37" s="35" t="s">
        <v>516</v>
      </c>
      <c r="G37" s="35"/>
      <c r="H37" s="91"/>
      <c r="I37" s="38"/>
      <c r="J37" s="102"/>
      <c r="K37" s="103"/>
      <c r="L37" s="249" t="s">
        <v>507</v>
      </c>
      <c r="M37" s="100" t="s">
        <v>454</v>
      </c>
      <c r="N37" s="22"/>
      <c r="O37" s="32">
        <v>9</v>
      </c>
      <c r="P37" s="101">
        <f>Q36</f>
        <v>45400</v>
      </c>
      <c r="Q37" s="31">
        <f t="shared" si="47"/>
        <v>45412</v>
      </c>
      <c r="R37" s="22"/>
      <c r="S37" s="32">
        <v>9</v>
      </c>
      <c r="T37" s="101">
        <f>U36</f>
        <v>45400</v>
      </c>
      <c r="U37" s="31">
        <f t="shared" si="48"/>
        <v>45412</v>
      </c>
      <c r="V37" s="22"/>
      <c r="W37" s="32">
        <v>90</v>
      </c>
      <c r="X37" s="101">
        <f>Y36</f>
        <v>45400</v>
      </c>
      <c r="Y37" s="31">
        <f t="shared" si="49"/>
        <v>45525</v>
      </c>
      <c r="Z37" s="24">
        <f t="shared" si="45"/>
        <v>125</v>
      </c>
      <c r="AA37" s="40" t="s">
        <v>517</v>
      </c>
      <c r="AB37" s="24"/>
      <c r="AC37" s="46"/>
      <c r="AD37" s="40" t="s">
        <v>518</v>
      </c>
      <c r="AE37" s="40"/>
      <c r="AF37" s="41"/>
      <c r="AG37" s="41" t="s">
        <v>519</v>
      </c>
      <c r="AH37" s="28"/>
      <c r="AI37" s="309" t="str">
        <f t="shared" ref="AI37:BQ37" si="51">IFERROR(IF(AND($T37&gt;=(EOMONTH(AI$8,-1)+1),$U37&lt;AJ$8,$I37="M"),"u",""),"")</f>
        <v/>
      </c>
      <c r="AJ37" s="89" t="str">
        <f t="shared" si="51"/>
        <v/>
      </c>
      <c r="AK37" s="89" t="str">
        <f t="shared" si="51"/>
        <v/>
      </c>
      <c r="AL37" s="89" t="str">
        <f t="shared" si="51"/>
        <v/>
      </c>
      <c r="AM37" s="89" t="str">
        <f t="shared" si="51"/>
        <v/>
      </c>
      <c r="AN37" s="89" t="str">
        <f t="shared" si="51"/>
        <v/>
      </c>
      <c r="AO37" s="89" t="str">
        <f t="shared" si="51"/>
        <v/>
      </c>
      <c r="AP37" s="89" t="str">
        <f t="shared" si="51"/>
        <v/>
      </c>
      <c r="AQ37" s="89" t="str">
        <f t="shared" si="51"/>
        <v/>
      </c>
      <c r="AR37" s="89" t="str">
        <f t="shared" si="51"/>
        <v/>
      </c>
      <c r="AS37" s="89" t="str">
        <f t="shared" si="51"/>
        <v/>
      </c>
      <c r="AT37" s="89" t="str">
        <f t="shared" si="51"/>
        <v/>
      </c>
      <c r="AU37" s="89" t="str">
        <f t="shared" si="51"/>
        <v/>
      </c>
      <c r="AV37" s="89" t="str">
        <f t="shared" si="51"/>
        <v/>
      </c>
      <c r="AW37" s="89" t="str">
        <f t="shared" si="51"/>
        <v/>
      </c>
      <c r="AX37" s="89" t="str">
        <f t="shared" si="51"/>
        <v/>
      </c>
      <c r="AY37" s="89" t="str">
        <f t="shared" si="51"/>
        <v/>
      </c>
      <c r="AZ37" s="89" t="str">
        <f t="shared" si="51"/>
        <v/>
      </c>
      <c r="BA37" s="89" t="str">
        <f t="shared" si="51"/>
        <v/>
      </c>
      <c r="BB37" s="89" t="str">
        <f t="shared" si="51"/>
        <v/>
      </c>
      <c r="BC37" s="89" t="str">
        <f t="shared" si="51"/>
        <v/>
      </c>
      <c r="BD37" s="89" t="str">
        <f t="shared" si="51"/>
        <v/>
      </c>
      <c r="BE37" s="89" t="str">
        <f t="shared" si="51"/>
        <v/>
      </c>
      <c r="BF37" s="89" t="str">
        <f t="shared" si="51"/>
        <v/>
      </c>
      <c r="BG37" s="89" t="str">
        <f t="shared" si="51"/>
        <v/>
      </c>
      <c r="BH37" s="89" t="str">
        <f t="shared" si="51"/>
        <v/>
      </c>
      <c r="BI37" s="89" t="str">
        <f t="shared" si="51"/>
        <v/>
      </c>
      <c r="BJ37" s="89" t="str">
        <f t="shared" si="51"/>
        <v/>
      </c>
      <c r="BK37" s="89" t="str">
        <f t="shared" si="51"/>
        <v/>
      </c>
      <c r="BL37" s="89" t="str">
        <f t="shared" si="51"/>
        <v/>
      </c>
      <c r="BM37" s="89" t="str">
        <f t="shared" si="51"/>
        <v/>
      </c>
      <c r="BN37" s="89" t="str">
        <f t="shared" si="51"/>
        <v/>
      </c>
      <c r="BO37" s="89" t="str">
        <f t="shared" si="51"/>
        <v/>
      </c>
      <c r="BP37" s="89" t="str">
        <f t="shared" si="51"/>
        <v/>
      </c>
      <c r="BQ37" s="90" t="str">
        <f t="shared" si="51"/>
        <v/>
      </c>
      <c r="BR37" s="11" t="s">
        <v>0</v>
      </c>
    </row>
    <row r="38" spans="1:70" ht="19.5" customHeight="1" outlineLevel="1">
      <c r="A38" s="307"/>
      <c r="B38" s="83" t="s">
        <v>520</v>
      </c>
      <c r="C38" s="84"/>
      <c r="D38" s="85"/>
      <c r="E38" s="35"/>
      <c r="F38" s="35" t="s">
        <v>521</v>
      </c>
      <c r="G38" s="35"/>
      <c r="H38" s="35"/>
      <c r="I38" s="38"/>
      <c r="J38" s="86"/>
      <c r="K38" s="87"/>
      <c r="L38" s="249" t="s">
        <v>507</v>
      </c>
      <c r="M38" s="100" t="s">
        <v>454</v>
      </c>
      <c r="N38" s="22"/>
      <c r="O38" s="32">
        <f t="shared" ref="O38:O39" si="52">NETWORKDAYS(P38,Q38)</f>
        <v>0</v>
      </c>
      <c r="P38" s="31"/>
      <c r="Q38" s="31"/>
      <c r="R38" s="22"/>
      <c r="S38" s="32">
        <f t="shared" ref="S38:S39" si="53">NETWORKDAYS(T38,U38)</f>
        <v>0</v>
      </c>
      <c r="T38" s="31"/>
      <c r="U38" s="31"/>
      <c r="V38" s="22"/>
      <c r="W38" s="32">
        <f t="shared" ref="W38:W39" si="54">NETWORKDAYS(X38,Y38)</f>
        <v>0</v>
      </c>
      <c r="X38" s="53"/>
      <c r="Y38" s="53"/>
      <c r="Z38" s="24"/>
      <c r="AA38" s="40"/>
      <c r="AB38" s="24"/>
      <c r="AC38" s="46"/>
      <c r="AD38" s="40" t="s">
        <v>522</v>
      </c>
      <c r="AE38" s="40"/>
      <c r="AF38" s="41"/>
      <c r="AG38" s="41"/>
      <c r="AH38" s="28"/>
      <c r="AI38" s="309" t="str">
        <f t="shared" ref="AI38:BQ38" si="55">IFERROR(IF(AND($T38&gt;=(EOMONTH(AI$8,-1)+1),$U38&lt;AJ$8,$I38="M"),"u",""),"")</f>
        <v/>
      </c>
      <c r="AJ38" s="89" t="str">
        <f t="shared" si="55"/>
        <v/>
      </c>
      <c r="AK38" s="89" t="str">
        <f t="shared" si="55"/>
        <v/>
      </c>
      <c r="AL38" s="89" t="str">
        <f t="shared" si="55"/>
        <v/>
      </c>
      <c r="AM38" s="89" t="str">
        <f t="shared" si="55"/>
        <v/>
      </c>
      <c r="AN38" s="89" t="str">
        <f t="shared" si="55"/>
        <v/>
      </c>
      <c r="AO38" s="89" t="str">
        <f t="shared" si="55"/>
        <v/>
      </c>
      <c r="AP38" s="89" t="str">
        <f t="shared" si="55"/>
        <v/>
      </c>
      <c r="AQ38" s="89" t="str">
        <f t="shared" si="55"/>
        <v/>
      </c>
      <c r="AR38" s="89" t="str">
        <f t="shared" si="55"/>
        <v/>
      </c>
      <c r="AS38" s="89" t="str">
        <f t="shared" si="55"/>
        <v/>
      </c>
      <c r="AT38" s="89" t="str">
        <f t="shared" si="55"/>
        <v/>
      </c>
      <c r="AU38" s="89" t="str">
        <f t="shared" si="55"/>
        <v/>
      </c>
      <c r="AV38" s="89" t="str">
        <f t="shared" si="55"/>
        <v/>
      </c>
      <c r="AW38" s="89" t="str">
        <f t="shared" si="55"/>
        <v/>
      </c>
      <c r="AX38" s="89" t="str">
        <f t="shared" si="55"/>
        <v/>
      </c>
      <c r="AY38" s="89" t="str">
        <f t="shared" si="55"/>
        <v/>
      </c>
      <c r="AZ38" s="89" t="str">
        <f t="shared" si="55"/>
        <v/>
      </c>
      <c r="BA38" s="89" t="str">
        <f t="shared" si="55"/>
        <v/>
      </c>
      <c r="BB38" s="89" t="str">
        <f t="shared" si="55"/>
        <v/>
      </c>
      <c r="BC38" s="89" t="str">
        <f t="shared" si="55"/>
        <v/>
      </c>
      <c r="BD38" s="89" t="str">
        <f t="shared" si="55"/>
        <v/>
      </c>
      <c r="BE38" s="89" t="str">
        <f t="shared" si="55"/>
        <v/>
      </c>
      <c r="BF38" s="89" t="str">
        <f t="shared" si="55"/>
        <v/>
      </c>
      <c r="BG38" s="89" t="str">
        <f t="shared" si="55"/>
        <v/>
      </c>
      <c r="BH38" s="89" t="str">
        <f t="shared" si="55"/>
        <v/>
      </c>
      <c r="BI38" s="89" t="str">
        <f t="shared" si="55"/>
        <v/>
      </c>
      <c r="BJ38" s="89" t="str">
        <f t="shared" si="55"/>
        <v/>
      </c>
      <c r="BK38" s="89" t="str">
        <f t="shared" si="55"/>
        <v/>
      </c>
      <c r="BL38" s="89" t="str">
        <f t="shared" si="55"/>
        <v/>
      </c>
      <c r="BM38" s="89" t="str">
        <f t="shared" si="55"/>
        <v/>
      </c>
      <c r="BN38" s="89" t="str">
        <f t="shared" si="55"/>
        <v/>
      </c>
      <c r="BO38" s="89" t="str">
        <f t="shared" si="55"/>
        <v/>
      </c>
      <c r="BP38" s="89" t="str">
        <f t="shared" si="55"/>
        <v/>
      </c>
      <c r="BQ38" s="90" t="str">
        <f t="shared" si="55"/>
        <v/>
      </c>
      <c r="BR38" s="11" t="s">
        <v>0</v>
      </c>
    </row>
    <row r="39" spans="1:70" ht="19.5" customHeight="1">
      <c r="A39" s="307">
        <v>2.5</v>
      </c>
      <c r="B39" s="83"/>
      <c r="C39" s="84"/>
      <c r="D39" s="85"/>
      <c r="E39" s="35" t="s">
        <v>523</v>
      </c>
      <c r="F39" s="12"/>
      <c r="G39" s="12"/>
      <c r="H39" s="12"/>
      <c r="I39" s="38"/>
      <c r="J39" s="104"/>
      <c r="K39" s="87"/>
      <c r="L39" s="249"/>
      <c r="M39" s="32"/>
      <c r="N39" s="22"/>
      <c r="O39" s="32">
        <f t="shared" si="52"/>
        <v>108</v>
      </c>
      <c r="P39" s="31">
        <f>MIN(P40:P43)</f>
        <v>45332</v>
      </c>
      <c r="Q39" s="31">
        <f>MAX(Q40:Q43)</f>
        <v>45483</v>
      </c>
      <c r="R39" s="22"/>
      <c r="S39" s="32">
        <f t="shared" si="53"/>
        <v>195</v>
      </c>
      <c r="T39" s="31">
        <f>MIN(T40:T43)</f>
        <v>45211</v>
      </c>
      <c r="U39" s="31">
        <f>MAX(U40:U43)</f>
        <v>45483</v>
      </c>
      <c r="V39" s="22"/>
      <c r="W39" s="32">
        <f t="shared" si="54"/>
        <v>203</v>
      </c>
      <c r="X39" s="31">
        <f>MIN(X40:X43)</f>
        <v>45332</v>
      </c>
      <c r="Y39" s="31">
        <f>MAX(Y40:Y43)</f>
        <v>45616</v>
      </c>
      <c r="Z39" s="24"/>
      <c r="AA39" s="40"/>
      <c r="AB39" s="24"/>
      <c r="AC39" s="46"/>
      <c r="AD39" s="40"/>
      <c r="AE39" s="40"/>
      <c r="AF39" s="41"/>
      <c r="AG39" s="41"/>
      <c r="AH39" s="28"/>
      <c r="AI39" s="291" t="str">
        <f t="shared" ref="AI39:BQ39" si="56">IFERROR(IF(AND($T39&gt;=(EOMONTH(AI$8,-1)+1),$U39&lt;AJ$8,$I39="M"),"u",""),"")</f>
        <v/>
      </c>
      <c r="AJ39" s="81" t="str">
        <f t="shared" si="56"/>
        <v/>
      </c>
      <c r="AK39" s="81" t="str">
        <f t="shared" si="56"/>
        <v/>
      </c>
      <c r="AL39" s="81" t="str">
        <f t="shared" si="56"/>
        <v/>
      </c>
      <c r="AM39" s="81" t="str">
        <f t="shared" si="56"/>
        <v/>
      </c>
      <c r="AN39" s="81" t="str">
        <f t="shared" si="56"/>
        <v/>
      </c>
      <c r="AO39" s="81" t="str">
        <f t="shared" si="56"/>
        <v/>
      </c>
      <c r="AP39" s="81" t="str">
        <f t="shared" si="56"/>
        <v/>
      </c>
      <c r="AQ39" s="81" t="str">
        <f t="shared" si="56"/>
        <v/>
      </c>
      <c r="AR39" s="81" t="str">
        <f t="shared" si="56"/>
        <v/>
      </c>
      <c r="AS39" s="81" t="str">
        <f t="shared" si="56"/>
        <v/>
      </c>
      <c r="AT39" s="81" t="str">
        <f t="shared" si="56"/>
        <v/>
      </c>
      <c r="AU39" s="81" t="str">
        <f t="shared" si="56"/>
        <v/>
      </c>
      <c r="AV39" s="81" t="str">
        <f t="shared" si="56"/>
        <v/>
      </c>
      <c r="AW39" s="81" t="str">
        <f t="shared" si="56"/>
        <v/>
      </c>
      <c r="AX39" s="81" t="str">
        <f t="shared" si="56"/>
        <v/>
      </c>
      <c r="AY39" s="81" t="str">
        <f t="shared" si="56"/>
        <v/>
      </c>
      <c r="AZ39" s="81" t="str">
        <f t="shared" si="56"/>
        <v/>
      </c>
      <c r="BA39" s="81" t="str">
        <f t="shared" si="56"/>
        <v/>
      </c>
      <c r="BB39" s="81" t="str">
        <f t="shared" si="56"/>
        <v/>
      </c>
      <c r="BC39" s="81" t="str">
        <f t="shared" si="56"/>
        <v/>
      </c>
      <c r="BD39" s="81" t="str">
        <f t="shared" si="56"/>
        <v/>
      </c>
      <c r="BE39" s="81" t="str">
        <f t="shared" si="56"/>
        <v/>
      </c>
      <c r="BF39" s="81" t="str">
        <f t="shared" si="56"/>
        <v/>
      </c>
      <c r="BG39" s="81" t="str">
        <f t="shared" si="56"/>
        <v/>
      </c>
      <c r="BH39" s="81" t="str">
        <f t="shared" si="56"/>
        <v/>
      </c>
      <c r="BI39" s="81" t="str">
        <f t="shared" si="56"/>
        <v/>
      </c>
      <c r="BJ39" s="81" t="str">
        <f t="shared" si="56"/>
        <v/>
      </c>
      <c r="BK39" s="81" t="str">
        <f t="shared" si="56"/>
        <v/>
      </c>
      <c r="BL39" s="81" t="str">
        <f t="shared" si="56"/>
        <v/>
      </c>
      <c r="BM39" s="81" t="str">
        <f t="shared" si="56"/>
        <v/>
      </c>
      <c r="BN39" s="81" t="str">
        <f t="shared" si="56"/>
        <v/>
      </c>
      <c r="BO39" s="81" t="str">
        <f t="shared" si="56"/>
        <v/>
      </c>
      <c r="BP39" s="81" t="str">
        <f t="shared" si="56"/>
        <v/>
      </c>
      <c r="BQ39" s="82" t="str">
        <f t="shared" si="56"/>
        <v/>
      </c>
      <c r="BR39" s="11" t="s">
        <v>0</v>
      </c>
    </row>
    <row r="40" spans="1:70" ht="19.5" customHeight="1" outlineLevel="1">
      <c r="A40" s="307"/>
      <c r="B40" s="83" t="s">
        <v>524</v>
      </c>
      <c r="C40" s="84"/>
      <c r="D40" s="85"/>
      <c r="E40" s="35"/>
      <c r="F40" s="35" t="s">
        <v>525</v>
      </c>
      <c r="G40" s="35"/>
      <c r="H40" s="35"/>
      <c r="I40" s="38"/>
      <c r="J40" s="104" t="s">
        <v>526</v>
      </c>
      <c r="K40" s="87" t="s">
        <v>527</v>
      </c>
      <c r="L40" s="249" t="s">
        <v>450</v>
      </c>
      <c r="M40" s="32"/>
      <c r="N40" s="22"/>
      <c r="O40" s="32">
        <v>90</v>
      </c>
      <c r="P40" s="31">
        <f>Q20</f>
        <v>45332</v>
      </c>
      <c r="Q40" s="31">
        <f t="shared" ref="Q40:Q43" si="57">IF(O40&lt;&gt;"",WORKDAY(P40,O40-1),"")</f>
        <v>45456</v>
      </c>
      <c r="R40" s="22"/>
      <c r="S40" s="32">
        <v>90</v>
      </c>
      <c r="T40" s="31">
        <f>U20</f>
        <v>45211</v>
      </c>
      <c r="U40" s="31">
        <f t="shared" ref="U40:U43" si="58">IF(S40&lt;&gt;"",WORKDAY(T40,S40-1),"")</f>
        <v>45336</v>
      </c>
      <c r="V40" s="22"/>
      <c r="W40" s="32">
        <v>90</v>
      </c>
      <c r="X40" s="53">
        <f>Y20</f>
        <v>45332</v>
      </c>
      <c r="Y40" s="31">
        <f t="shared" ref="Y40:Y42" si="59">IF(W40&lt;&gt;"",WORKDAY(X40,W40-1),"")</f>
        <v>45456</v>
      </c>
      <c r="Z40" s="24"/>
      <c r="AA40" s="40" t="s">
        <v>528</v>
      </c>
      <c r="AB40" s="24"/>
      <c r="AC40" s="46"/>
      <c r="AD40" s="40"/>
      <c r="AE40" s="40"/>
      <c r="AF40" s="41"/>
      <c r="AG40" s="41"/>
      <c r="AH40" s="28"/>
      <c r="AI40" s="291" t="str">
        <f t="shared" ref="AI40:BQ40" si="60">IFERROR(IF(AND($T40&gt;=(EOMONTH(AI$8,-1)+1),$U40&lt;AJ$8,$I40="M"),"u",""),"")</f>
        <v/>
      </c>
      <c r="AJ40" s="81" t="str">
        <f t="shared" si="60"/>
        <v/>
      </c>
      <c r="AK40" s="81" t="str">
        <f t="shared" si="60"/>
        <v/>
      </c>
      <c r="AL40" s="81" t="str">
        <f t="shared" si="60"/>
        <v/>
      </c>
      <c r="AM40" s="81" t="str">
        <f t="shared" si="60"/>
        <v/>
      </c>
      <c r="AN40" s="81" t="str">
        <f t="shared" si="60"/>
        <v/>
      </c>
      <c r="AO40" s="81" t="str">
        <f t="shared" si="60"/>
        <v/>
      </c>
      <c r="AP40" s="81" t="str">
        <f t="shared" si="60"/>
        <v/>
      </c>
      <c r="AQ40" s="81" t="str">
        <f t="shared" si="60"/>
        <v/>
      </c>
      <c r="AR40" s="81" t="str">
        <f t="shared" si="60"/>
        <v/>
      </c>
      <c r="AS40" s="81" t="str">
        <f t="shared" si="60"/>
        <v/>
      </c>
      <c r="AT40" s="81" t="str">
        <f t="shared" si="60"/>
        <v/>
      </c>
      <c r="AU40" s="81" t="str">
        <f t="shared" si="60"/>
        <v/>
      </c>
      <c r="AV40" s="81" t="str">
        <f t="shared" si="60"/>
        <v/>
      </c>
      <c r="AW40" s="81" t="str">
        <f t="shared" si="60"/>
        <v/>
      </c>
      <c r="AX40" s="81" t="str">
        <f t="shared" si="60"/>
        <v/>
      </c>
      <c r="AY40" s="81" t="str">
        <f t="shared" si="60"/>
        <v/>
      </c>
      <c r="AZ40" s="81" t="str">
        <f t="shared" si="60"/>
        <v/>
      </c>
      <c r="BA40" s="81" t="str">
        <f t="shared" si="60"/>
        <v/>
      </c>
      <c r="BB40" s="81" t="str">
        <f t="shared" si="60"/>
        <v/>
      </c>
      <c r="BC40" s="81" t="str">
        <f t="shared" si="60"/>
        <v/>
      </c>
      <c r="BD40" s="81" t="str">
        <f t="shared" si="60"/>
        <v/>
      </c>
      <c r="BE40" s="81" t="str">
        <f t="shared" si="60"/>
        <v/>
      </c>
      <c r="BF40" s="81" t="str">
        <f t="shared" si="60"/>
        <v/>
      </c>
      <c r="BG40" s="81" t="str">
        <f t="shared" si="60"/>
        <v/>
      </c>
      <c r="BH40" s="81" t="str">
        <f t="shared" si="60"/>
        <v/>
      </c>
      <c r="BI40" s="81" t="str">
        <f t="shared" si="60"/>
        <v/>
      </c>
      <c r="BJ40" s="81" t="str">
        <f t="shared" si="60"/>
        <v/>
      </c>
      <c r="BK40" s="81" t="str">
        <f t="shared" si="60"/>
        <v/>
      </c>
      <c r="BL40" s="81" t="str">
        <f t="shared" si="60"/>
        <v/>
      </c>
      <c r="BM40" s="81" t="str">
        <f t="shared" si="60"/>
        <v/>
      </c>
      <c r="BN40" s="81" t="str">
        <f t="shared" si="60"/>
        <v/>
      </c>
      <c r="BO40" s="81" t="str">
        <f t="shared" si="60"/>
        <v/>
      </c>
      <c r="BP40" s="81" t="str">
        <f t="shared" si="60"/>
        <v/>
      </c>
      <c r="BQ40" s="82" t="str">
        <f t="shared" si="60"/>
        <v/>
      </c>
      <c r="BR40" s="11" t="s">
        <v>0</v>
      </c>
    </row>
    <row r="41" spans="1:70" ht="19.5" customHeight="1" outlineLevel="1">
      <c r="A41" s="307"/>
      <c r="B41" s="83" t="s">
        <v>529</v>
      </c>
      <c r="C41" s="84"/>
      <c r="D41" s="85"/>
      <c r="E41" s="35"/>
      <c r="F41" s="35" t="s">
        <v>530</v>
      </c>
      <c r="G41" s="35"/>
      <c r="H41" s="35"/>
      <c r="I41" s="38"/>
      <c r="J41" s="86"/>
      <c r="K41" s="87" t="s">
        <v>531</v>
      </c>
      <c r="L41" s="249"/>
      <c r="M41" s="32"/>
      <c r="N41" s="22"/>
      <c r="O41" s="32">
        <v>60</v>
      </c>
      <c r="P41" s="31">
        <f>Q36</f>
        <v>45400</v>
      </c>
      <c r="Q41" s="31">
        <f t="shared" si="57"/>
        <v>45483</v>
      </c>
      <c r="R41" s="22"/>
      <c r="S41" s="32">
        <v>60</v>
      </c>
      <c r="T41" s="31">
        <f>U36</f>
        <v>45400</v>
      </c>
      <c r="U41" s="31">
        <f t="shared" si="58"/>
        <v>45483</v>
      </c>
      <c r="V41" s="22"/>
      <c r="W41" s="32">
        <v>34</v>
      </c>
      <c r="X41" s="53">
        <f>Y36</f>
        <v>45400</v>
      </c>
      <c r="Y41" s="31">
        <f t="shared" si="59"/>
        <v>45447</v>
      </c>
      <c r="Z41" s="24"/>
      <c r="AA41" s="40" t="s">
        <v>532</v>
      </c>
      <c r="AB41" s="24"/>
      <c r="AC41" s="46"/>
      <c r="AD41" s="40" t="s">
        <v>533</v>
      </c>
      <c r="AE41" s="40"/>
      <c r="AF41" s="41"/>
      <c r="AG41" s="41" t="s">
        <v>534</v>
      </c>
      <c r="AH41" s="28"/>
      <c r="AI41" s="291" t="str">
        <f t="shared" ref="AI41:BQ41" si="61">IFERROR(IF(AND($T41&gt;=(EOMONTH(AI$8,-1)+1),$U41&lt;AJ$8,$I41="M"),"u",""),"")</f>
        <v/>
      </c>
      <c r="AJ41" s="81" t="str">
        <f t="shared" si="61"/>
        <v/>
      </c>
      <c r="AK41" s="81" t="str">
        <f t="shared" si="61"/>
        <v/>
      </c>
      <c r="AL41" s="81" t="str">
        <f t="shared" si="61"/>
        <v/>
      </c>
      <c r="AM41" s="81" t="str">
        <f t="shared" si="61"/>
        <v/>
      </c>
      <c r="AN41" s="81" t="str">
        <f t="shared" si="61"/>
        <v/>
      </c>
      <c r="AO41" s="81" t="str">
        <f t="shared" si="61"/>
        <v/>
      </c>
      <c r="AP41" s="81" t="str">
        <f t="shared" si="61"/>
        <v/>
      </c>
      <c r="AQ41" s="81" t="str">
        <f t="shared" si="61"/>
        <v/>
      </c>
      <c r="AR41" s="81" t="str">
        <f t="shared" si="61"/>
        <v/>
      </c>
      <c r="AS41" s="81" t="str">
        <f t="shared" si="61"/>
        <v/>
      </c>
      <c r="AT41" s="81" t="str">
        <f t="shared" si="61"/>
        <v/>
      </c>
      <c r="AU41" s="81" t="str">
        <f t="shared" si="61"/>
        <v/>
      </c>
      <c r="AV41" s="81" t="str">
        <f t="shared" si="61"/>
        <v/>
      </c>
      <c r="AW41" s="81" t="str">
        <f t="shared" si="61"/>
        <v/>
      </c>
      <c r="AX41" s="81" t="str">
        <f t="shared" si="61"/>
        <v/>
      </c>
      <c r="AY41" s="81" t="str">
        <f t="shared" si="61"/>
        <v/>
      </c>
      <c r="AZ41" s="81" t="str">
        <f t="shared" si="61"/>
        <v/>
      </c>
      <c r="BA41" s="81" t="str">
        <f t="shared" si="61"/>
        <v/>
      </c>
      <c r="BB41" s="81" t="str">
        <f t="shared" si="61"/>
        <v/>
      </c>
      <c r="BC41" s="81" t="str">
        <f t="shared" si="61"/>
        <v/>
      </c>
      <c r="BD41" s="81" t="str">
        <f t="shared" si="61"/>
        <v/>
      </c>
      <c r="BE41" s="81" t="str">
        <f t="shared" si="61"/>
        <v/>
      </c>
      <c r="BF41" s="81" t="str">
        <f t="shared" si="61"/>
        <v/>
      </c>
      <c r="BG41" s="81" t="str">
        <f t="shared" si="61"/>
        <v/>
      </c>
      <c r="BH41" s="81" t="str">
        <f t="shared" si="61"/>
        <v/>
      </c>
      <c r="BI41" s="81" t="str">
        <f t="shared" si="61"/>
        <v/>
      </c>
      <c r="BJ41" s="81" t="str">
        <f t="shared" si="61"/>
        <v/>
      </c>
      <c r="BK41" s="81" t="str">
        <f t="shared" si="61"/>
        <v/>
      </c>
      <c r="BL41" s="81" t="str">
        <f t="shared" si="61"/>
        <v/>
      </c>
      <c r="BM41" s="81" t="str">
        <f t="shared" si="61"/>
        <v/>
      </c>
      <c r="BN41" s="81" t="str">
        <f t="shared" si="61"/>
        <v/>
      </c>
      <c r="BO41" s="81" t="str">
        <f t="shared" si="61"/>
        <v/>
      </c>
      <c r="BP41" s="81" t="str">
        <f t="shared" si="61"/>
        <v/>
      </c>
      <c r="BQ41" s="82" t="str">
        <f t="shared" si="61"/>
        <v/>
      </c>
      <c r="BR41" s="11" t="s">
        <v>0</v>
      </c>
    </row>
    <row r="42" spans="1:70" ht="19.5" customHeight="1" outlineLevel="1">
      <c r="A42" s="307"/>
      <c r="B42" s="83" t="s">
        <v>535</v>
      </c>
      <c r="C42" s="84"/>
      <c r="D42" s="105"/>
      <c r="E42" s="35"/>
      <c r="F42" s="35" t="s">
        <v>536</v>
      </c>
      <c r="G42" s="35"/>
      <c r="H42" s="35"/>
      <c r="I42" s="38"/>
      <c r="J42" s="86"/>
      <c r="K42" s="87"/>
      <c r="L42" s="249"/>
      <c r="M42" s="32"/>
      <c r="N42" s="22"/>
      <c r="O42" s="32">
        <v>30</v>
      </c>
      <c r="P42" s="53">
        <f>Q36</f>
        <v>45400</v>
      </c>
      <c r="Q42" s="31">
        <f t="shared" si="57"/>
        <v>45441</v>
      </c>
      <c r="R42" s="22"/>
      <c r="S42" s="32">
        <v>30</v>
      </c>
      <c r="T42" s="53">
        <f>U36</f>
        <v>45400</v>
      </c>
      <c r="U42" s="31">
        <f t="shared" si="58"/>
        <v>45441</v>
      </c>
      <c r="V42" s="22"/>
      <c r="W42" s="32">
        <v>80</v>
      </c>
      <c r="X42" s="53">
        <f>Y36</f>
        <v>45400</v>
      </c>
      <c r="Y42" s="31">
        <f t="shared" si="59"/>
        <v>45511</v>
      </c>
      <c r="Z42" s="24"/>
      <c r="AA42" s="106" t="s">
        <v>537</v>
      </c>
      <c r="AB42" s="24"/>
      <c r="AC42" s="31"/>
      <c r="AD42" s="46" t="s">
        <v>538</v>
      </c>
      <c r="AE42" s="46"/>
      <c r="AF42" s="88"/>
      <c r="AG42" s="88"/>
      <c r="AH42" s="107"/>
      <c r="AI42" s="306" t="str">
        <f t="shared" ref="AI42:BQ42" si="62">IFERROR(IF(AND($T42&gt;=(EOMONTH(AI$8,-1)+1),$U42&lt;AJ$8,$I42="M"),"u",""),"")</f>
        <v/>
      </c>
      <c r="AJ42" s="81" t="str">
        <f t="shared" si="62"/>
        <v/>
      </c>
      <c r="AK42" s="81" t="str">
        <f t="shared" si="62"/>
        <v/>
      </c>
      <c r="AL42" s="81" t="str">
        <f t="shared" si="62"/>
        <v/>
      </c>
      <c r="AM42" s="81" t="str">
        <f t="shared" si="62"/>
        <v/>
      </c>
      <c r="AN42" s="81" t="str">
        <f t="shared" si="62"/>
        <v/>
      </c>
      <c r="AO42" s="81" t="str">
        <f t="shared" si="62"/>
        <v/>
      </c>
      <c r="AP42" s="81" t="str">
        <f t="shared" si="62"/>
        <v/>
      </c>
      <c r="AQ42" s="81" t="str">
        <f t="shared" si="62"/>
        <v/>
      </c>
      <c r="AR42" s="81" t="str">
        <f t="shared" si="62"/>
        <v/>
      </c>
      <c r="AS42" s="81" t="str">
        <f t="shared" si="62"/>
        <v/>
      </c>
      <c r="AT42" s="81" t="str">
        <f t="shared" si="62"/>
        <v/>
      </c>
      <c r="AU42" s="81" t="str">
        <f t="shared" si="62"/>
        <v/>
      </c>
      <c r="AV42" s="81" t="str">
        <f t="shared" si="62"/>
        <v/>
      </c>
      <c r="AW42" s="81" t="str">
        <f t="shared" si="62"/>
        <v/>
      </c>
      <c r="AX42" s="81" t="str">
        <f t="shared" si="62"/>
        <v/>
      </c>
      <c r="AY42" s="81" t="str">
        <f t="shared" si="62"/>
        <v/>
      </c>
      <c r="AZ42" s="81" t="str">
        <f t="shared" si="62"/>
        <v/>
      </c>
      <c r="BA42" s="81" t="str">
        <f t="shared" si="62"/>
        <v/>
      </c>
      <c r="BB42" s="81" t="str">
        <f t="shared" si="62"/>
        <v/>
      </c>
      <c r="BC42" s="81" t="str">
        <f t="shared" si="62"/>
        <v/>
      </c>
      <c r="BD42" s="81" t="str">
        <f t="shared" si="62"/>
        <v/>
      </c>
      <c r="BE42" s="81" t="str">
        <f t="shared" si="62"/>
        <v/>
      </c>
      <c r="BF42" s="81" t="str">
        <f t="shared" si="62"/>
        <v/>
      </c>
      <c r="BG42" s="81" t="str">
        <f t="shared" si="62"/>
        <v/>
      </c>
      <c r="BH42" s="81" t="str">
        <f t="shared" si="62"/>
        <v/>
      </c>
      <c r="BI42" s="81" t="str">
        <f t="shared" si="62"/>
        <v/>
      </c>
      <c r="BJ42" s="81" t="str">
        <f t="shared" si="62"/>
        <v/>
      </c>
      <c r="BK42" s="81" t="str">
        <f t="shared" si="62"/>
        <v/>
      </c>
      <c r="BL42" s="81" t="str">
        <f t="shared" si="62"/>
        <v/>
      </c>
      <c r="BM42" s="81" t="str">
        <f t="shared" si="62"/>
        <v/>
      </c>
      <c r="BN42" s="81" t="str">
        <f t="shared" si="62"/>
        <v/>
      </c>
      <c r="BO42" s="81" t="str">
        <f t="shared" si="62"/>
        <v/>
      </c>
      <c r="BP42" s="81" t="str">
        <f t="shared" si="62"/>
        <v/>
      </c>
      <c r="BQ42" s="82" t="str">
        <f t="shared" si="62"/>
        <v/>
      </c>
      <c r="BR42" s="11" t="s">
        <v>0</v>
      </c>
    </row>
    <row r="43" spans="1:70" ht="19.5" customHeight="1" outlineLevel="1">
      <c r="A43" s="307"/>
      <c r="B43" s="83" t="s">
        <v>539</v>
      </c>
      <c r="C43" s="84"/>
      <c r="D43" s="85"/>
      <c r="E43" s="35"/>
      <c r="F43" s="35" t="s">
        <v>540</v>
      </c>
      <c r="G43" s="35"/>
      <c r="H43" s="35"/>
      <c r="I43" s="38"/>
      <c r="J43" s="104"/>
      <c r="K43" s="87" t="s">
        <v>541</v>
      </c>
      <c r="L43" s="249"/>
      <c r="M43" s="32"/>
      <c r="N43" s="22"/>
      <c r="O43" s="32">
        <v>85</v>
      </c>
      <c r="P43" s="31">
        <v>45348</v>
      </c>
      <c r="Q43" s="31">
        <f t="shared" si="57"/>
        <v>45464</v>
      </c>
      <c r="R43" s="22"/>
      <c r="S43" s="32">
        <v>85</v>
      </c>
      <c r="T43" s="31">
        <v>45348</v>
      </c>
      <c r="U43" s="31">
        <f t="shared" si="58"/>
        <v>45464</v>
      </c>
      <c r="V43" s="22"/>
      <c r="W43" s="32">
        <f>Y43-X43</f>
        <v>268</v>
      </c>
      <c r="X43" s="31">
        <v>45348</v>
      </c>
      <c r="Y43" s="31">
        <v>45616</v>
      </c>
      <c r="Z43" s="24"/>
      <c r="AA43" s="40" t="s">
        <v>542</v>
      </c>
      <c r="AB43" s="24"/>
      <c r="AC43" s="46"/>
      <c r="AD43" s="40" t="s">
        <v>543</v>
      </c>
      <c r="AE43" s="46"/>
      <c r="AF43" s="41"/>
      <c r="AG43" s="41" t="s">
        <v>544</v>
      </c>
      <c r="AH43" s="28"/>
      <c r="AI43" s="291" t="str">
        <f t="shared" ref="AI43:BQ43" si="63">IFERROR(IF(AND($T43&gt;=(EOMONTH(AI$8,-1)+1),$U43&lt;AJ$8,$I43="M"),"u",""),"")</f>
        <v/>
      </c>
      <c r="AJ43" s="81" t="str">
        <f t="shared" si="63"/>
        <v/>
      </c>
      <c r="AK43" s="81" t="str">
        <f t="shared" si="63"/>
        <v/>
      </c>
      <c r="AL43" s="81" t="str">
        <f t="shared" si="63"/>
        <v/>
      </c>
      <c r="AM43" s="81" t="str">
        <f t="shared" si="63"/>
        <v/>
      </c>
      <c r="AN43" s="81" t="str">
        <f t="shared" si="63"/>
        <v/>
      </c>
      <c r="AO43" s="81" t="str">
        <f t="shared" si="63"/>
        <v/>
      </c>
      <c r="AP43" s="81" t="str">
        <f t="shared" si="63"/>
        <v/>
      </c>
      <c r="AQ43" s="81" t="str">
        <f t="shared" si="63"/>
        <v/>
      </c>
      <c r="AR43" s="81" t="str">
        <f t="shared" si="63"/>
        <v/>
      </c>
      <c r="AS43" s="81" t="str">
        <f t="shared" si="63"/>
        <v/>
      </c>
      <c r="AT43" s="81" t="str">
        <f t="shared" si="63"/>
        <v/>
      </c>
      <c r="AU43" s="81" t="str">
        <f t="shared" si="63"/>
        <v/>
      </c>
      <c r="AV43" s="81" t="str">
        <f t="shared" si="63"/>
        <v/>
      </c>
      <c r="AW43" s="81" t="str">
        <f t="shared" si="63"/>
        <v/>
      </c>
      <c r="AX43" s="81" t="str">
        <f t="shared" si="63"/>
        <v/>
      </c>
      <c r="AY43" s="81" t="str">
        <f t="shared" si="63"/>
        <v/>
      </c>
      <c r="AZ43" s="81" t="str">
        <f t="shared" si="63"/>
        <v/>
      </c>
      <c r="BA43" s="81" t="str">
        <f t="shared" si="63"/>
        <v/>
      </c>
      <c r="BB43" s="81" t="str">
        <f t="shared" si="63"/>
        <v/>
      </c>
      <c r="BC43" s="81" t="str">
        <f t="shared" si="63"/>
        <v/>
      </c>
      <c r="BD43" s="81" t="str">
        <f t="shared" si="63"/>
        <v/>
      </c>
      <c r="BE43" s="81" t="str">
        <f t="shared" si="63"/>
        <v/>
      </c>
      <c r="BF43" s="81" t="str">
        <f t="shared" si="63"/>
        <v/>
      </c>
      <c r="BG43" s="81" t="str">
        <f t="shared" si="63"/>
        <v/>
      </c>
      <c r="BH43" s="81" t="str">
        <f t="shared" si="63"/>
        <v/>
      </c>
      <c r="BI43" s="81" t="str">
        <f t="shared" si="63"/>
        <v/>
      </c>
      <c r="BJ43" s="81" t="str">
        <f t="shared" si="63"/>
        <v/>
      </c>
      <c r="BK43" s="81" t="str">
        <f t="shared" si="63"/>
        <v/>
      </c>
      <c r="BL43" s="81" t="str">
        <f t="shared" si="63"/>
        <v/>
      </c>
      <c r="BM43" s="81" t="str">
        <f t="shared" si="63"/>
        <v/>
      </c>
      <c r="BN43" s="81" t="str">
        <f t="shared" si="63"/>
        <v/>
      </c>
      <c r="BO43" s="81" t="str">
        <f t="shared" si="63"/>
        <v/>
      </c>
      <c r="BP43" s="81" t="str">
        <f t="shared" si="63"/>
        <v/>
      </c>
      <c r="BQ43" s="82" t="str">
        <f t="shared" si="63"/>
        <v/>
      </c>
      <c r="BR43" s="11" t="s">
        <v>0</v>
      </c>
    </row>
    <row r="44" spans="1:70" ht="19.5" customHeight="1">
      <c r="A44" s="307">
        <v>2.6</v>
      </c>
      <c r="B44" s="83"/>
      <c r="C44" s="84"/>
      <c r="D44" s="85"/>
      <c r="E44" s="35" t="s">
        <v>545</v>
      </c>
      <c r="F44" s="35"/>
      <c r="G44" s="35"/>
      <c r="H44" s="35"/>
      <c r="I44" s="38"/>
      <c r="J44" s="86"/>
      <c r="K44" s="87" t="s">
        <v>546</v>
      </c>
      <c r="L44" s="322" t="s">
        <v>547</v>
      </c>
      <c r="M44" s="32"/>
      <c r="N44" s="22"/>
      <c r="O44" s="32">
        <f t="shared" ref="O44:O71" si="64">NETWORKDAYS(P44,Q44)</f>
        <v>88</v>
      </c>
      <c r="P44" s="31">
        <f>MIN(P45:P48)</f>
        <v>45413</v>
      </c>
      <c r="Q44" s="31">
        <f>MAX(Q45:Q48)</f>
        <v>45534</v>
      </c>
      <c r="R44" s="22"/>
      <c r="S44" s="32">
        <f>IF(T44=0,"",U44-T44)</f>
        <v>100</v>
      </c>
      <c r="T44" s="31">
        <f>MIN(T45:T48)</f>
        <v>45413</v>
      </c>
      <c r="U44" s="31">
        <f>MAX(U45:U48)</f>
        <v>45513</v>
      </c>
      <c r="V44" s="22"/>
      <c r="W44" s="32">
        <f t="shared" ref="W44:W71" si="65">NETWORKDAYS(X44,Y44)</f>
        <v>98</v>
      </c>
      <c r="X44" s="31">
        <f>MIN(X45:X48)</f>
        <v>45413</v>
      </c>
      <c r="Y44" s="31">
        <f>MAX(Y45:Y48)</f>
        <v>45550</v>
      </c>
      <c r="Z44" s="24"/>
      <c r="AA44" s="40" t="s">
        <v>548</v>
      </c>
      <c r="AB44" s="24"/>
      <c r="AC44" s="46">
        <v>1</v>
      </c>
      <c r="AD44" s="40" t="s">
        <v>549</v>
      </c>
      <c r="AE44" s="40"/>
      <c r="AF44" s="41"/>
      <c r="AG44" s="41"/>
      <c r="AH44" s="28"/>
      <c r="AI44" s="291" t="str">
        <f t="shared" ref="AI44:BQ44" si="66">IFERROR(IF(AND($T44&gt;=(EOMONTH(AI$8,-1)+1),$U44&lt;AJ$8,$I44="M"),"u",""),"")</f>
        <v/>
      </c>
      <c r="AJ44" s="81" t="str">
        <f t="shared" si="66"/>
        <v/>
      </c>
      <c r="AK44" s="81" t="str">
        <f t="shared" si="66"/>
        <v/>
      </c>
      <c r="AL44" s="81" t="str">
        <f t="shared" si="66"/>
        <v/>
      </c>
      <c r="AM44" s="81" t="str">
        <f t="shared" si="66"/>
        <v/>
      </c>
      <c r="AN44" s="81" t="str">
        <f t="shared" si="66"/>
        <v/>
      </c>
      <c r="AO44" s="81" t="str">
        <f t="shared" si="66"/>
        <v/>
      </c>
      <c r="AP44" s="81" t="str">
        <f t="shared" si="66"/>
        <v/>
      </c>
      <c r="AQ44" s="81" t="str">
        <f t="shared" si="66"/>
        <v/>
      </c>
      <c r="AR44" s="81" t="str">
        <f t="shared" si="66"/>
        <v/>
      </c>
      <c r="AS44" s="81" t="str">
        <f t="shared" si="66"/>
        <v/>
      </c>
      <c r="AT44" s="81" t="str">
        <f t="shared" si="66"/>
        <v/>
      </c>
      <c r="AU44" s="81" t="str">
        <f t="shared" si="66"/>
        <v/>
      </c>
      <c r="AV44" s="81" t="str">
        <f t="shared" si="66"/>
        <v/>
      </c>
      <c r="AW44" s="81" t="str">
        <f t="shared" si="66"/>
        <v/>
      </c>
      <c r="AX44" s="81" t="str">
        <f t="shared" si="66"/>
        <v/>
      </c>
      <c r="AY44" s="81" t="str">
        <f t="shared" si="66"/>
        <v/>
      </c>
      <c r="AZ44" s="81" t="str">
        <f t="shared" si="66"/>
        <v/>
      </c>
      <c r="BA44" s="81" t="str">
        <f t="shared" si="66"/>
        <v/>
      </c>
      <c r="BB44" s="81" t="str">
        <f t="shared" si="66"/>
        <v/>
      </c>
      <c r="BC44" s="81" t="str">
        <f t="shared" si="66"/>
        <v/>
      </c>
      <c r="BD44" s="81" t="str">
        <f t="shared" si="66"/>
        <v/>
      </c>
      <c r="BE44" s="81" t="str">
        <f t="shared" si="66"/>
        <v/>
      </c>
      <c r="BF44" s="81" t="str">
        <f t="shared" si="66"/>
        <v/>
      </c>
      <c r="BG44" s="81" t="str">
        <f t="shared" si="66"/>
        <v/>
      </c>
      <c r="BH44" s="81" t="str">
        <f t="shared" si="66"/>
        <v/>
      </c>
      <c r="BI44" s="81" t="str">
        <f t="shared" si="66"/>
        <v/>
      </c>
      <c r="BJ44" s="81" t="str">
        <f t="shared" si="66"/>
        <v/>
      </c>
      <c r="BK44" s="81" t="str">
        <f t="shared" si="66"/>
        <v/>
      </c>
      <c r="BL44" s="81" t="str">
        <f t="shared" si="66"/>
        <v/>
      </c>
      <c r="BM44" s="81" t="str">
        <f t="shared" si="66"/>
        <v/>
      </c>
      <c r="BN44" s="81" t="str">
        <f t="shared" si="66"/>
        <v/>
      </c>
      <c r="BO44" s="81" t="str">
        <f t="shared" si="66"/>
        <v/>
      </c>
      <c r="BP44" s="81" t="str">
        <f t="shared" si="66"/>
        <v/>
      </c>
      <c r="BQ44" s="82" t="str">
        <f t="shared" si="66"/>
        <v/>
      </c>
      <c r="BR44" s="11" t="s">
        <v>0</v>
      </c>
    </row>
    <row r="45" spans="1:70" ht="19.5" customHeight="1" outlineLevel="1">
      <c r="A45" s="307"/>
      <c r="B45" s="83" t="s">
        <v>550</v>
      </c>
      <c r="C45" s="84"/>
      <c r="D45" s="85"/>
      <c r="E45" s="35"/>
      <c r="F45" s="35" t="s">
        <v>551</v>
      </c>
      <c r="G45" s="35"/>
      <c r="H45" s="35"/>
      <c r="I45" s="38"/>
      <c r="J45" s="86" t="s">
        <v>552</v>
      </c>
      <c r="K45" s="87" t="s">
        <v>553</v>
      </c>
      <c r="L45" s="249" t="s">
        <v>547</v>
      </c>
      <c r="M45" s="32"/>
      <c r="N45" s="22"/>
      <c r="O45" s="32">
        <f t="shared" si="64"/>
        <v>65</v>
      </c>
      <c r="P45" s="53">
        <v>45413</v>
      </c>
      <c r="Q45" s="53">
        <v>45503</v>
      </c>
      <c r="R45" s="22"/>
      <c r="S45" s="32">
        <v>60</v>
      </c>
      <c r="T45" s="53">
        <v>45413</v>
      </c>
      <c r="U45" s="31">
        <f t="shared" ref="U45:U46" si="67">IF(S45&lt;&gt;"",WORKDAY(T45,S45-1),"")</f>
        <v>45496</v>
      </c>
      <c r="V45" s="22"/>
      <c r="W45" s="32">
        <f t="shared" si="65"/>
        <v>88</v>
      </c>
      <c r="X45" s="53">
        <v>45413</v>
      </c>
      <c r="Y45" s="53">
        <v>45534</v>
      </c>
      <c r="Z45" s="24"/>
      <c r="AA45" s="40"/>
      <c r="AB45" s="24"/>
      <c r="AC45" s="46">
        <v>1</v>
      </c>
      <c r="AD45" s="40" t="s">
        <v>549</v>
      </c>
      <c r="AE45" s="40"/>
      <c r="AF45" s="41"/>
      <c r="AG45" s="41" t="s">
        <v>554</v>
      </c>
      <c r="AH45" s="28"/>
      <c r="AI45" s="291" t="str">
        <f t="shared" ref="AI45:BQ45" si="68">IFERROR(IF(AND($T45&gt;=(EOMONTH(AI$8,-1)+1),$U45&lt;AJ$8,$I45="M"),"u",""),"")</f>
        <v/>
      </c>
      <c r="AJ45" s="81" t="str">
        <f t="shared" si="68"/>
        <v/>
      </c>
      <c r="AK45" s="81" t="str">
        <f t="shared" si="68"/>
        <v/>
      </c>
      <c r="AL45" s="81" t="str">
        <f t="shared" si="68"/>
        <v/>
      </c>
      <c r="AM45" s="81" t="str">
        <f t="shared" si="68"/>
        <v/>
      </c>
      <c r="AN45" s="81" t="str">
        <f t="shared" si="68"/>
        <v/>
      </c>
      <c r="AO45" s="81" t="str">
        <f t="shared" si="68"/>
        <v/>
      </c>
      <c r="AP45" s="81" t="str">
        <f t="shared" si="68"/>
        <v/>
      </c>
      <c r="AQ45" s="81" t="str">
        <f t="shared" si="68"/>
        <v/>
      </c>
      <c r="AR45" s="81" t="str">
        <f t="shared" si="68"/>
        <v/>
      </c>
      <c r="AS45" s="81" t="str">
        <f t="shared" si="68"/>
        <v/>
      </c>
      <c r="AT45" s="81" t="str">
        <f t="shared" si="68"/>
        <v/>
      </c>
      <c r="AU45" s="81" t="str">
        <f t="shared" si="68"/>
        <v/>
      </c>
      <c r="AV45" s="81" t="str">
        <f t="shared" si="68"/>
        <v/>
      </c>
      <c r="AW45" s="81" t="str">
        <f t="shared" si="68"/>
        <v/>
      </c>
      <c r="AX45" s="81" t="str">
        <f t="shared" si="68"/>
        <v/>
      </c>
      <c r="AY45" s="81" t="str">
        <f t="shared" si="68"/>
        <v/>
      </c>
      <c r="AZ45" s="81" t="str">
        <f t="shared" si="68"/>
        <v/>
      </c>
      <c r="BA45" s="81" t="str">
        <f t="shared" si="68"/>
        <v/>
      </c>
      <c r="BB45" s="81" t="str">
        <f t="shared" si="68"/>
        <v/>
      </c>
      <c r="BC45" s="81" t="str">
        <f t="shared" si="68"/>
        <v/>
      </c>
      <c r="BD45" s="81" t="str">
        <f t="shared" si="68"/>
        <v/>
      </c>
      <c r="BE45" s="81" t="str">
        <f t="shared" si="68"/>
        <v/>
      </c>
      <c r="BF45" s="81" t="str">
        <f t="shared" si="68"/>
        <v/>
      </c>
      <c r="BG45" s="81" t="str">
        <f t="shared" si="68"/>
        <v/>
      </c>
      <c r="BH45" s="81" t="str">
        <f t="shared" si="68"/>
        <v/>
      </c>
      <c r="BI45" s="81" t="str">
        <f t="shared" si="68"/>
        <v/>
      </c>
      <c r="BJ45" s="81" t="str">
        <f t="shared" si="68"/>
        <v/>
      </c>
      <c r="BK45" s="81" t="str">
        <f t="shared" si="68"/>
        <v/>
      </c>
      <c r="BL45" s="81" t="str">
        <f t="shared" si="68"/>
        <v/>
      </c>
      <c r="BM45" s="81" t="str">
        <f t="shared" si="68"/>
        <v/>
      </c>
      <c r="BN45" s="81" t="str">
        <f t="shared" si="68"/>
        <v/>
      </c>
      <c r="BO45" s="81" t="str">
        <f t="shared" si="68"/>
        <v/>
      </c>
      <c r="BP45" s="81" t="str">
        <f t="shared" si="68"/>
        <v/>
      </c>
      <c r="BQ45" s="82" t="str">
        <f t="shared" si="68"/>
        <v/>
      </c>
      <c r="BR45" s="11" t="s">
        <v>0</v>
      </c>
    </row>
    <row r="46" spans="1:70" ht="19.5" customHeight="1" outlineLevel="1">
      <c r="A46" s="307"/>
      <c r="B46" s="83" t="s">
        <v>555</v>
      </c>
      <c r="C46" s="84"/>
      <c r="D46" s="85"/>
      <c r="E46" s="35"/>
      <c r="F46" s="35" t="s">
        <v>556</v>
      </c>
      <c r="G46" s="35"/>
      <c r="H46" s="35"/>
      <c r="I46" s="38"/>
      <c r="J46" s="86" t="s">
        <v>557</v>
      </c>
      <c r="K46" s="87" t="s">
        <v>558</v>
      </c>
      <c r="L46" s="249" t="s">
        <v>547</v>
      </c>
      <c r="M46" s="32"/>
      <c r="N46" s="22"/>
      <c r="O46" s="32">
        <f t="shared" si="64"/>
        <v>34</v>
      </c>
      <c r="P46" s="53">
        <v>45474</v>
      </c>
      <c r="Q46" s="53">
        <v>45519</v>
      </c>
      <c r="R46" s="22"/>
      <c r="S46" s="32">
        <v>30</v>
      </c>
      <c r="T46" s="53">
        <v>45474</v>
      </c>
      <c r="U46" s="31">
        <f t="shared" si="67"/>
        <v>45513</v>
      </c>
      <c r="V46" s="22"/>
      <c r="W46" s="32">
        <f t="shared" si="65"/>
        <v>45</v>
      </c>
      <c r="X46" s="53">
        <v>45474</v>
      </c>
      <c r="Y46" s="53">
        <v>45534</v>
      </c>
      <c r="Z46" s="24"/>
      <c r="AA46" s="40"/>
      <c r="AB46" s="24"/>
      <c r="AC46" s="46"/>
      <c r="AD46" s="40"/>
      <c r="AE46" s="40"/>
      <c r="AF46" s="41"/>
      <c r="AG46" s="41" t="s">
        <v>559</v>
      </c>
      <c r="AH46" s="28"/>
      <c r="AI46" s="291" t="str">
        <f t="shared" ref="AI46:BQ46" si="69">IFERROR(IF(AND($T46&gt;=(EOMONTH(AI$8,-1)+1),$U46&lt;AJ$8,$I46="M"),"u",""),"")</f>
        <v/>
      </c>
      <c r="AJ46" s="81" t="str">
        <f t="shared" si="69"/>
        <v/>
      </c>
      <c r="AK46" s="81" t="str">
        <f t="shared" si="69"/>
        <v/>
      </c>
      <c r="AL46" s="81" t="str">
        <f t="shared" si="69"/>
        <v/>
      </c>
      <c r="AM46" s="81" t="str">
        <f t="shared" si="69"/>
        <v/>
      </c>
      <c r="AN46" s="81" t="str">
        <f t="shared" si="69"/>
        <v/>
      </c>
      <c r="AO46" s="81" t="str">
        <f t="shared" si="69"/>
        <v/>
      </c>
      <c r="AP46" s="81" t="str">
        <f t="shared" si="69"/>
        <v/>
      </c>
      <c r="AQ46" s="81" t="str">
        <f t="shared" si="69"/>
        <v/>
      </c>
      <c r="AR46" s="81" t="str">
        <f t="shared" si="69"/>
        <v/>
      </c>
      <c r="AS46" s="81" t="str">
        <f t="shared" si="69"/>
        <v/>
      </c>
      <c r="AT46" s="81" t="str">
        <f t="shared" si="69"/>
        <v/>
      </c>
      <c r="AU46" s="81" t="str">
        <f t="shared" si="69"/>
        <v/>
      </c>
      <c r="AV46" s="81" t="str">
        <f t="shared" si="69"/>
        <v/>
      </c>
      <c r="AW46" s="81" t="str">
        <f t="shared" si="69"/>
        <v/>
      </c>
      <c r="AX46" s="81" t="str">
        <f t="shared" si="69"/>
        <v/>
      </c>
      <c r="AY46" s="81" t="str">
        <f t="shared" si="69"/>
        <v/>
      </c>
      <c r="AZ46" s="81" t="str">
        <f t="shared" si="69"/>
        <v/>
      </c>
      <c r="BA46" s="81" t="str">
        <f t="shared" si="69"/>
        <v/>
      </c>
      <c r="BB46" s="81" t="str">
        <f t="shared" si="69"/>
        <v/>
      </c>
      <c r="BC46" s="81" t="str">
        <f t="shared" si="69"/>
        <v/>
      </c>
      <c r="BD46" s="81" t="str">
        <f t="shared" si="69"/>
        <v/>
      </c>
      <c r="BE46" s="81" t="str">
        <f t="shared" si="69"/>
        <v/>
      </c>
      <c r="BF46" s="81" t="str">
        <f t="shared" si="69"/>
        <v/>
      </c>
      <c r="BG46" s="81" t="str">
        <f t="shared" si="69"/>
        <v/>
      </c>
      <c r="BH46" s="81" t="str">
        <f t="shared" si="69"/>
        <v/>
      </c>
      <c r="BI46" s="81" t="str">
        <f t="shared" si="69"/>
        <v/>
      </c>
      <c r="BJ46" s="81" t="str">
        <f t="shared" si="69"/>
        <v/>
      </c>
      <c r="BK46" s="81" t="str">
        <f t="shared" si="69"/>
        <v/>
      </c>
      <c r="BL46" s="81" t="str">
        <f t="shared" si="69"/>
        <v/>
      </c>
      <c r="BM46" s="81" t="str">
        <f t="shared" si="69"/>
        <v/>
      </c>
      <c r="BN46" s="81" t="str">
        <f t="shared" si="69"/>
        <v/>
      </c>
      <c r="BO46" s="81" t="str">
        <f t="shared" si="69"/>
        <v/>
      </c>
      <c r="BP46" s="81" t="str">
        <f t="shared" si="69"/>
        <v/>
      </c>
      <c r="BQ46" s="82" t="str">
        <f t="shared" si="69"/>
        <v/>
      </c>
      <c r="BR46" s="11"/>
    </row>
    <row r="47" spans="1:70" ht="19.5" customHeight="1" outlineLevel="1">
      <c r="A47" s="307"/>
      <c r="B47" s="83" t="s">
        <v>560</v>
      </c>
      <c r="C47" s="84"/>
      <c r="D47" s="85"/>
      <c r="E47" s="35"/>
      <c r="F47" s="35"/>
      <c r="G47" s="35" t="s">
        <v>561</v>
      </c>
      <c r="H47" s="35"/>
      <c r="I47" s="38"/>
      <c r="J47" s="86"/>
      <c r="K47" s="87" t="s">
        <v>562</v>
      </c>
      <c r="L47" s="249" t="s">
        <v>547</v>
      </c>
      <c r="M47" s="32"/>
      <c r="N47" s="22"/>
      <c r="O47" s="32">
        <f t="shared" si="64"/>
        <v>35</v>
      </c>
      <c r="P47" s="53">
        <v>45488</v>
      </c>
      <c r="Q47" s="53">
        <v>45534</v>
      </c>
      <c r="R47" s="22"/>
      <c r="S47" s="53"/>
      <c r="T47" s="53"/>
      <c r="U47" s="53"/>
      <c r="V47" s="22"/>
      <c r="W47" s="32">
        <f t="shared" si="65"/>
        <v>32</v>
      </c>
      <c r="X47" s="53">
        <v>45505</v>
      </c>
      <c r="Y47" s="53">
        <v>45550</v>
      </c>
      <c r="Z47" s="24"/>
      <c r="AA47" s="40" t="s">
        <v>563</v>
      </c>
      <c r="AB47" s="24"/>
      <c r="AC47" s="46"/>
      <c r="AD47" s="40"/>
      <c r="AE47" s="40"/>
      <c r="AF47" s="41"/>
      <c r="AG47" s="41"/>
      <c r="AH47" s="28"/>
      <c r="AI47" s="291" t="str">
        <f t="shared" ref="AI47:BQ47" si="70">IFERROR(IF(AND($T47&gt;=(EOMONTH(AI$8,-1)+1),$U47&lt;AJ$8,$I47="M"),"u",""),"")</f>
        <v/>
      </c>
      <c r="AJ47" s="81" t="str">
        <f t="shared" si="70"/>
        <v/>
      </c>
      <c r="AK47" s="81" t="str">
        <f t="shared" si="70"/>
        <v/>
      </c>
      <c r="AL47" s="81" t="str">
        <f t="shared" si="70"/>
        <v/>
      </c>
      <c r="AM47" s="81" t="str">
        <f t="shared" si="70"/>
        <v/>
      </c>
      <c r="AN47" s="81" t="str">
        <f t="shared" si="70"/>
        <v/>
      </c>
      <c r="AO47" s="81" t="str">
        <f t="shared" si="70"/>
        <v/>
      </c>
      <c r="AP47" s="81" t="str">
        <f t="shared" si="70"/>
        <v/>
      </c>
      <c r="AQ47" s="81" t="str">
        <f t="shared" si="70"/>
        <v/>
      </c>
      <c r="AR47" s="81" t="str">
        <f t="shared" si="70"/>
        <v/>
      </c>
      <c r="AS47" s="81" t="str">
        <f t="shared" si="70"/>
        <v/>
      </c>
      <c r="AT47" s="81" t="str">
        <f t="shared" si="70"/>
        <v/>
      </c>
      <c r="AU47" s="81" t="str">
        <f t="shared" si="70"/>
        <v/>
      </c>
      <c r="AV47" s="81" t="str">
        <f t="shared" si="70"/>
        <v/>
      </c>
      <c r="AW47" s="81" t="str">
        <f t="shared" si="70"/>
        <v/>
      </c>
      <c r="AX47" s="81" t="str">
        <f t="shared" si="70"/>
        <v/>
      </c>
      <c r="AY47" s="81" t="str">
        <f t="shared" si="70"/>
        <v/>
      </c>
      <c r="AZ47" s="81" t="str">
        <f t="shared" si="70"/>
        <v/>
      </c>
      <c r="BA47" s="81" t="str">
        <f t="shared" si="70"/>
        <v/>
      </c>
      <c r="BB47" s="81" t="str">
        <f t="shared" si="70"/>
        <v/>
      </c>
      <c r="BC47" s="81" t="str">
        <f t="shared" si="70"/>
        <v/>
      </c>
      <c r="BD47" s="81" t="str">
        <f t="shared" si="70"/>
        <v/>
      </c>
      <c r="BE47" s="81" t="str">
        <f t="shared" si="70"/>
        <v/>
      </c>
      <c r="BF47" s="81" t="str">
        <f t="shared" si="70"/>
        <v/>
      </c>
      <c r="BG47" s="81" t="str">
        <f t="shared" si="70"/>
        <v/>
      </c>
      <c r="BH47" s="81" t="str">
        <f t="shared" si="70"/>
        <v/>
      </c>
      <c r="BI47" s="81" t="str">
        <f t="shared" si="70"/>
        <v/>
      </c>
      <c r="BJ47" s="81" t="str">
        <f t="shared" si="70"/>
        <v/>
      </c>
      <c r="BK47" s="81" t="str">
        <f t="shared" si="70"/>
        <v/>
      </c>
      <c r="BL47" s="81" t="str">
        <f t="shared" si="70"/>
        <v/>
      </c>
      <c r="BM47" s="81" t="str">
        <f t="shared" si="70"/>
        <v/>
      </c>
      <c r="BN47" s="81" t="str">
        <f t="shared" si="70"/>
        <v/>
      </c>
      <c r="BO47" s="81" t="str">
        <f t="shared" si="70"/>
        <v/>
      </c>
      <c r="BP47" s="81" t="str">
        <f t="shared" si="70"/>
        <v/>
      </c>
      <c r="BQ47" s="82" t="str">
        <f t="shared" si="70"/>
        <v/>
      </c>
      <c r="BR47" s="11"/>
    </row>
    <row r="48" spans="1:70" ht="19.5" customHeight="1" outlineLevel="1">
      <c r="A48" s="307"/>
      <c r="B48" s="83" t="s">
        <v>564</v>
      </c>
      <c r="C48" s="84"/>
      <c r="D48" s="85"/>
      <c r="E48" s="35"/>
      <c r="F48" s="35"/>
      <c r="G48" s="35" t="s">
        <v>565</v>
      </c>
      <c r="H48" s="35"/>
      <c r="I48" s="38"/>
      <c r="J48" s="86"/>
      <c r="K48" s="87" t="s">
        <v>562</v>
      </c>
      <c r="L48" s="249" t="s">
        <v>547</v>
      </c>
      <c r="M48" s="32"/>
      <c r="N48" s="22"/>
      <c r="O48" s="32">
        <f t="shared" si="64"/>
        <v>35</v>
      </c>
      <c r="P48" s="53">
        <v>45488</v>
      </c>
      <c r="Q48" s="53">
        <v>45534</v>
      </c>
      <c r="R48" s="22"/>
      <c r="S48" s="53"/>
      <c r="T48" s="53"/>
      <c r="U48" s="53"/>
      <c r="V48" s="22"/>
      <c r="W48" s="32">
        <f t="shared" si="65"/>
        <v>22</v>
      </c>
      <c r="X48" s="53">
        <v>45505</v>
      </c>
      <c r="Y48" s="53">
        <v>45534</v>
      </c>
      <c r="Z48" s="24"/>
      <c r="AA48" s="40"/>
      <c r="AB48" s="24"/>
      <c r="AC48" s="46"/>
      <c r="AD48" s="40"/>
      <c r="AE48" s="40"/>
      <c r="AF48" s="41"/>
      <c r="AG48" s="41"/>
      <c r="AH48" s="28"/>
      <c r="AI48" s="291" t="str">
        <f t="shared" ref="AI48:BQ48" si="71">IFERROR(IF(AND($T48&gt;=(EOMONTH(AI$8,-1)+1),$U48&lt;AJ$8,$I48="M"),"u",""),"")</f>
        <v/>
      </c>
      <c r="AJ48" s="81" t="str">
        <f t="shared" si="71"/>
        <v/>
      </c>
      <c r="AK48" s="81" t="str">
        <f t="shared" si="71"/>
        <v/>
      </c>
      <c r="AL48" s="81" t="str">
        <f t="shared" si="71"/>
        <v/>
      </c>
      <c r="AM48" s="81" t="str">
        <f t="shared" si="71"/>
        <v/>
      </c>
      <c r="AN48" s="81" t="str">
        <f t="shared" si="71"/>
        <v/>
      </c>
      <c r="AO48" s="81" t="str">
        <f t="shared" si="71"/>
        <v/>
      </c>
      <c r="AP48" s="81" t="str">
        <f t="shared" si="71"/>
        <v/>
      </c>
      <c r="AQ48" s="81" t="str">
        <f t="shared" si="71"/>
        <v/>
      </c>
      <c r="AR48" s="81" t="str">
        <f t="shared" si="71"/>
        <v/>
      </c>
      <c r="AS48" s="81" t="str">
        <f t="shared" si="71"/>
        <v/>
      </c>
      <c r="AT48" s="81" t="str">
        <f t="shared" si="71"/>
        <v/>
      </c>
      <c r="AU48" s="81" t="str">
        <f t="shared" si="71"/>
        <v/>
      </c>
      <c r="AV48" s="81" t="str">
        <f t="shared" si="71"/>
        <v/>
      </c>
      <c r="AW48" s="81" t="str">
        <f t="shared" si="71"/>
        <v/>
      </c>
      <c r="AX48" s="81" t="str">
        <f t="shared" si="71"/>
        <v/>
      </c>
      <c r="AY48" s="81" t="str">
        <f t="shared" si="71"/>
        <v/>
      </c>
      <c r="AZ48" s="81" t="str">
        <f t="shared" si="71"/>
        <v/>
      </c>
      <c r="BA48" s="81" t="str">
        <f t="shared" si="71"/>
        <v/>
      </c>
      <c r="BB48" s="81" t="str">
        <f t="shared" si="71"/>
        <v/>
      </c>
      <c r="BC48" s="81" t="str">
        <f t="shared" si="71"/>
        <v/>
      </c>
      <c r="BD48" s="81" t="str">
        <f t="shared" si="71"/>
        <v/>
      </c>
      <c r="BE48" s="81" t="str">
        <f t="shared" si="71"/>
        <v/>
      </c>
      <c r="BF48" s="81" t="str">
        <f t="shared" si="71"/>
        <v/>
      </c>
      <c r="BG48" s="81" t="str">
        <f t="shared" si="71"/>
        <v/>
      </c>
      <c r="BH48" s="81" t="str">
        <f t="shared" si="71"/>
        <v/>
      </c>
      <c r="BI48" s="81" t="str">
        <f t="shared" si="71"/>
        <v/>
      </c>
      <c r="BJ48" s="81" t="str">
        <f t="shared" si="71"/>
        <v/>
      </c>
      <c r="BK48" s="81" t="str">
        <f t="shared" si="71"/>
        <v/>
      </c>
      <c r="BL48" s="81" t="str">
        <f t="shared" si="71"/>
        <v/>
      </c>
      <c r="BM48" s="81" t="str">
        <f t="shared" si="71"/>
        <v/>
      </c>
      <c r="BN48" s="81" t="str">
        <f t="shared" si="71"/>
        <v/>
      </c>
      <c r="BO48" s="81" t="str">
        <f t="shared" si="71"/>
        <v/>
      </c>
      <c r="BP48" s="81" t="str">
        <f t="shared" si="71"/>
        <v/>
      </c>
      <c r="BQ48" s="82" t="str">
        <f t="shared" si="71"/>
        <v/>
      </c>
      <c r="BR48" s="11"/>
    </row>
    <row r="49" spans="1:70" ht="19.5" customHeight="1">
      <c r="A49" s="307">
        <v>2.7</v>
      </c>
      <c r="B49" s="83"/>
      <c r="C49" s="84"/>
      <c r="D49" s="85"/>
      <c r="E49" s="35" t="s">
        <v>566</v>
      </c>
      <c r="F49" s="35"/>
      <c r="G49" s="35"/>
      <c r="H49" s="35"/>
      <c r="I49" s="38"/>
      <c r="J49" s="86"/>
      <c r="K49" s="87" t="s">
        <v>567</v>
      </c>
      <c r="L49" s="249" t="s">
        <v>568</v>
      </c>
      <c r="M49" s="32"/>
      <c r="N49" s="22"/>
      <c r="O49" s="32">
        <f t="shared" si="64"/>
        <v>23</v>
      </c>
      <c r="P49" s="31">
        <f>MIN(P50:P52)</f>
        <v>45474</v>
      </c>
      <c r="Q49" s="31">
        <f>MAX(Q50:Q52)</f>
        <v>45504</v>
      </c>
      <c r="R49" s="22"/>
      <c r="S49" s="32">
        <f>IF(T49=0,"",U49-T49)</f>
        <v>60</v>
      </c>
      <c r="T49" s="31">
        <f>MIN(T50:T52)</f>
        <v>45474</v>
      </c>
      <c r="U49" s="31">
        <f>MAX(U50:U52)</f>
        <v>45534</v>
      </c>
      <c r="V49" s="22"/>
      <c r="W49" s="32">
        <f t="shared" si="65"/>
        <v>45</v>
      </c>
      <c r="X49" s="31">
        <f>MIN(X50:X52)</f>
        <v>45474</v>
      </c>
      <c r="Y49" s="31">
        <f>MAX(Y50:Y52)</f>
        <v>45534</v>
      </c>
      <c r="Z49" s="24"/>
      <c r="AA49" s="40"/>
      <c r="AB49" s="24"/>
      <c r="AC49" s="46">
        <v>1</v>
      </c>
      <c r="AD49" s="40"/>
      <c r="AE49" s="40"/>
      <c r="AF49" s="41"/>
      <c r="AG49" s="41"/>
      <c r="AH49" s="28"/>
      <c r="AI49" s="291" t="str">
        <f t="shared" ref="AI49:BQ49" si="72">IFERROR(IF(AND($T49&gt;=(EOMONTH(AI$8,-1)+1),$U49&lt;AJ$8,$I49="M"),"u",""),"")</f>
        <v/>
      </c>
      <c r="AJ49" s="81" t="str">
        <f t="shared" si="72"/>
        <v/>
      </c>
      <c r="AK49" s="81" t="str">
        <f t="shared" si="72"/>
        <v/>
      </c>
      <c r="AL49" s="81" t="str">
        <f t="shared" si="72"/>
        <v/>
      </c>
      <c r="AM49" s="81" t="str">
        <f t="shared" si="72"/>
        <v/>
      </c>
      <c r="AN49" s="81" t="str">
        <f t="shared" si="72"/>
        <v/>
      </c>
      <c r="AO49" s="81" t="str">
        <f t="shared" si="72"/>
        <v/>
      </c>
      <c r="AP49" s="81" t="str">
        <f t="shared" si="72"/>
        <v/>
      </c>
      <c r="AQ49" s="81" t="str">
        <f t="shared" si="72"/>
        <v/>
      </c>
      <c r="AR49" s="81" t="str">
        <f t="shared" si="72"/>
        <v/>
      </c>
      <c r="AS49" s="81" t="str">
        <f t="shared" si="72"/>
        <v/>
      </c>
      <c r="AT49" s="81" t="str">
        <f t="shared" si="72"/>
        <v/>
      </c>
      <c r="AU49" s="81" t="str">
        <f t="shared" si="72"/>
        <v/>
      </c>
      <c r="AV49" s="81" t="str">
        <f t="shared" si="72"/>
        <v/>
      </c>
      <c r="AW49" s="81" t="str">
        <f t="shared" si="72"/>
        <v/>
      </c>
      <c r="AX49" s="81" t="str">
        <f t="shared" si="72"/>
        <v/>
      </c>
      <c r="AY49" s="81" t="str">
        <f t="shared" si="72"/>
        <v/>
      </c>
      <c r="AZ49" s="81" t="str">
        <f t="shared" si="72"/>
        <v/>
      </c>
      <c r="BA49" s="81" t="str">
        <f t="shared" si="72"/>
        <v/>
      </c>
      <c r="BB49" s="81" t="str">
        <f t="shared" si="72"/>
        <v/>
      </c>
      <c r="BC49" s="81" t="str">
        <f t="shared" si="72"/>
        <v/>
      </c>
      <c r="BD49" s="81" t="str">
        <f t="shared" si="72"/>
        <v/>
      </c>
      <c r="BE49" s="81" t="str">
        <f t="shared" si="72"/>
        <v/>
      </c>
      <c r="BF49" s="81" t="str">
        <f t="shared" si="72"/>
        <v/>
      </c>
      <c r="BG49" s="81" t="str">
        <f t="shared" si="72"/>
        <v/>
      </c>
      <c r="BH49" s="81" t="str">
        <f t="shared" si="72"/>
        <v/>
      </c>
      <c r="BI49" s="81" t="str">
        <f t="shared" si="72"/>
        <v/>
      </c>
      <c r="BJ49" s="81" t="str">
        <f t="shared" si="72"/>
        <v/>
      </c>
      <c r="BK49" s="81" t="str">
        <f t="shared" si="72"/>
        <v/>
      </c>
      <c r="BL49" s="81" t="str">
        <f t="shared" si="72"/>
        <v/>
      </c>
      <c r="BM49" s="81" t="str">
        <f t="shared" si="72"/>
        <v/>
      </c>
      <c r="BN49" s="81" t="str">
        <f t="shared" si="72"/>
        <v/>
      </c>
      <c r="BO49" s="81" t="str">
        <f t="shared" si="72"/>
        <v/>
      </c>
      <c r="BP49" s="81" t="str">
        <f t="shared" si="72"/>
        <v/>
      </c>
      <c r="BQ49" s="82" t="str">
        <f t="shared" si="72"/>
        <v/>
      </c>
      <c r="BR49" s="11" t="s">
        <v>0</v>
      </c>
    </row>
    <row r="50" spans="1:70" ht="19.5" customHeight="1" outlineLevel="1">
      <c r="A50" s="307"/>
      <c r="B50" s="83" t="s">
        <v>569</v>
      </c>
      <c r="C50" s="84"/>
      <c r="D50" s="85"/>
      <c r="E50" s="35"/>
      <c r="F50" s="35" t="s">
        <v>570</v>
      </c>
      <c r="G50" s="35"/>
      <c r="H50" s="35"/>
      <c r="I50" s="38"/>
      <c r="J50" s="86" t="s">
        <v>571</v>
      </c>
      <c r="K50" s="87" t="s">
        <v>572</v>
      </c>
      <c r="L50" s="249" t="s">
        <v>568</v>
      </c>
      <c r="M50" s="32"/>
      <c r="N50" s="22"/>
      <c r="O50" s="32">
        <f t="shared" si="64"/>
        <v>23</v>
      </c>
      <c r="P50" s="53">
        <v>45474</v>
      </c>
      <c r="Q50" s="53">
        <v>45504</v>
      </c>
      <c r="R50" s="22"/>
      <c r="S50" s="32">
        <v>30</v>
      </c>
      <c r="T50" s="53">
        <v>45474</v>
      </c>
      <c r="U50" s="53">
        <v>45534</v>
      </c>
      <c r="V50" s="22"/>
      <c r="W50" s="32">
        <f t="shared" si="65"/>
        <v>45</v>
      </c>
      <c r="X50" s="53">
        <v>45474</v>
      </c>
      <c r="Y50" s="53">
        <v>45534</v>
      </c>
      <c r="Z50" s="24"/>
      <c r="AA50" s="40"/>
      <c r="AB50" s="24"/>
      <c r="AC50" s="46">
        <v>1</v>
      </c>
      <c r="AD50" s="40" t="s">
        <v>549</v>
      </c>
      <c r="AE50" s="40"/>
      <c r="AF50" s="41"/>
      <c r="AG50" s="41" t="s">
        <v>573</v>
      </c>
      <c r="AH50" s="28"/>
      <c r="AI50" s="291" t="str">
        <f t="shared" ref="AI50:BQ50" si="73">IFERROR(IF(AND($T50&gt;=(EOMONTH(AI$8,-1)+1),$U50&lt;AJ$8,$I50="M"),"u",""),"")</f>
        <v/>
      </c>
      <c r="AJ50" s="81" t="str">
        <f t="shared" si="73"/>
        <v/>
      </c>
      <c r="AK50" s="81" t="str">
        <f t="shared" si="73"/>
        <v/>
      </c>
      <c r="AL50" s="81" t="str">
        <f t="shared" si="73"/>
        <v/>
      </c>
      <c r="AM50" s="81" t="str">
        <f t="shared" si="73"/>
        <v/>
      </c>
      <c r="AN50" s="81" t="str">
        <f t="shared" si="73"/>
        <v/>
      </c>
      <c r="AO50" s="81" t="str">
        <f t="shared" si="73"/>
        <v/>
      </c>
      <c r="AP50" s="81" t="str">
        <f t="shared" si="73"/>
        <v/>
      </c>
      <c r="AQ50" s="81" t="str">
        <f t="shared" si="73"/>
        <v/>
      </c>
      <c r="AR50" s="81" t="str">
        <f t="shared" si="73"/>
        <v/>
      </c>
      <c r="AS50" s="81" t="str">
        <f t="shared" si="73"/>
        <v/>
      </c>
      <c r="AT50" s="81" t="str">
        <f t="shared" si="73"/>
        <v/>
      </c>
      <c r="AU50" s="81" t="str">
        <f t="shared" si="73"/>
        <v/>
      </c>
      <c r="AV50" s="81" t="str">
        <f t="shared" si="73"/>
        <v/>
      </c>
      <c r="AW50" s="81" t="str">
        <f t="shared" si="73"/>
        <v/>
      </c>
      <c r="AX50" s="81" t="str">
        <f t="shared" si="73"/>
        <v/>
      </c>
      <c r="AY50" s="81" t="str">
        <f t="shared" si="73"/>
        <v/>
      </c>
      <c r="AZ50" s="81" t="str">
        <f t="shared" si="73"/>
        <v/>
      </c>
      <c r="BA50" s="81" t="str">
        <f t="shared" si="73"/>
        <v/>
      </c>
      <c r="BB50" s="81" t="str">
        <f t="shared" si="73"/>
        <v/>
      </c>
      <c r="BC50" s="81" t="str">
        <f t="shared" si="73"/>
        <v/>
      </c>
      <c r="BD50" s="81" t="str">
        <f t="shared" si="73"/>
        <v/>
      </c>
      <c r="BE50" s="81" t="str">
        <f t="shared" si="73"/>
        <v/>
      </c>
      <c r="BF50" s="81" t="str">
        <f t="shared" si="73"/>
        <v/>
      </c>
      <c r="BG50" s="81" t="str">
        <f t="shared" si="73"/>
        <v/>
      </c>
      <c r="BH50" s="81" t="str">
        <f t="shared" si="73"/>
        <v/>
      </c>
      <c r="BI50" s="81" t="str">
        <f t="shared" si="73"/>
        <v/>
      </c>
      <c r="BJ50" s="81" t="str">
        <f t="shared" si="73"/>
        <v/>
      </c>
      <c r="BK50" s="81" t="str">
        <f t="shared" si="73"/>
        <v/>
      </c>
      <c r="BL50" s="81" t="str">
        <f t="shared" si="73"/>
        <v/>
      </c>
      <c r="BM50" s="81" t="str">
        <f t="shared" si="73"/>
        <v/>
      </c>
      <c r="BN50" s="81" t="str">
        <f t="shared" si="73"/>
        <v/>
      </c>
      <c r="BO50" s="81" t="str">
        <f t="shared" si="73"/>
        <v/>
      </c>
      <c r="BP50" s="81" t="str">
        <f t="shared" si="73"/>
        <v/>
      </c>
      <c r="BQ50" s="82" t="str">
        <f t="shared" si="73"/>
        <v/>
      </c>
      <c r="BR50" s="11" t="s">
        <v>0</v>
      </c>
    </row>
    <row r="51" spans="1:70" ht="19.5" customHeight="1" outlineLevel="1">
      <c r="A51" s="307"/>
      <c r="B51" s="83" t="s">
        <v>574</v>
      </c>
      <c r="C51" s="84"/>
      <c r="D51" s="85"/>
      <c r="E51" s="35"/>
      <c r="F51" s="108" t="s">
        <v>575</v>
      </c>
      <c r="G51" s="108"/>
      <c r="H51" s="35"/>
      <c r="I51" s="38"/>
      <c r="J51" s="86" t="s">
        <v>576</v>
      </c>
      <c r="K51" s="87" t="s">
        <v>577</v>
      </c>
      <c r="L51" s="249" t="s">
        <v>568</v>
      </c>
      <c r="M51" s="32" t="s">
        <v>578</v>
      </c>
      <c r="N51" s="22"/>
      <c r="O51" s="32">
        <f t="shared" si="64"/>
        <v>23</v>
      </c>
      <c r="P51" s="53">
        <v>45474</v>
      </c>
      <c r="Q51" s="53">
        <f>Q50</f>
        <v>45504</v>
      </c>
      <c r="R51" s="22"/>
      <c r="S51" s="32"/>
      <c r="T51" s="53">
        <v>45474</v>
      </c>
      <c r="U51" s="53">
        <v>45504</v>
      </c>
      <c r="V51" s="22"/>
      <c r="W51" s="32">
        <f t="shared" si="65"/>
        <v>23</v>
      </c>
      <c r="X51" s="53">
        <v>45474</v>
      </c>
      <c r="Y51" s="53">
        <v>45504</v>
      </c>
      <c r="Z51" s="24"/>
      <c r="AA51" s="40"/>
      <c r="AB51" s="24"/>
      <c r="AC51" s="46">
        <v>1</v>
      </c>
      <c r="AD51" s="40" t="s">
        <v>549</v>
      </c>
      <c r="AE51" s="40"/>
      <c r="AF51" s="41"/>
      <c r="AG51" s="41" t="s">
        <v>579</v>
      </c>
      <c r="AH51" s="28"/>
      <c r="AI51" s="291" t="str">
        <f t="shared" ref="AI51:BQ51" si="74">IFERROR(IF(AND($T51&gt;=(EOMONTH(AI$8,-1)+1),$U51&lt;AJ$8,$I51="M"),"u",""),"")</f>
        <v/>
      </c>
      <c r="AJ51" s="81" t="str">
        <f t="shared" si="74"/>
        <v/>
      </c>
      <c r="AK51" s="81" t="str">
        <f t="shared" si="74"/>
        <v/>
      </c>
      <c r="AL51" s="81" t="str">
        <f t="shared" si="74"/>
        <v/>
      </c>
      <c r="AM51" s="81" t="str">
        <f t="shared" si="74"/>
        <v/>
      </c>
      <c r="AN51" s="81" t="str">
        <f t="shared" si="74"/>
        <v/>
      </c>
      <c r="AO51" s="81" t="str">
        <f t="shared" si="74"/>
        <v/>
      </c>
      <c r="AP51" s="81" t="str">
        <f t="shared" si="74"/>
        <v/>
      </c>
      <c r="AQ51" s="81" t="str">
        <f t="shared" si="74"/>
        <v/>
      </c>
      <c r="AR51" s="81" t="str">
        <f t="shared" si="74"/>
        <v/>
      </c>
      <c r="AS51" s="81" t="str">
        <f t="shared" si="74"/>
        <v/>
      </c>
      <c r="AT51" s="81" t="str">
        <f t="shared" si="74"/>
        <v/>
      </c>
      <c r="AU51" s="81" t="str">
        <f t="shared" si="74"/>
        <v/>
      </c>
      <c r="AV51" s="81" t="str">
        <f t="shared" si="74"/>
        <v/>
      </c>
      <c r="AW51" s="81" t="str">
        <f t="shared" si="74"/>
        <v/>
      </c>
      <c r="AX51" s="81" t="str">
        <f t="shared" si="74"/>
        <v/>
      </c>
      <c r="AY51" s="81" t="str">
        <f t="shared" si="74"/>
        <v/>
      </c>
      <c r="AZ51" s="81" t="str">
        <f t="shared" si="74"/>
        <v/>
      </c>
      <c r="BA51" s="81" t="str">
        <f t="shared" si="74"/>
        <v/>
      </c>
      <c r="BB51" s="81" t="str">
        <f t="shared" si="74"/>
        <v/>
      </c>
      <c r="BC51" s="81" t="str">
        <f t="shared" si="74"/>
        <v/>
      </c>
      <c r="BD51" s="81" t="str">
        <f t="shared" si="74"/>
        <v/>
      </c>
      <c r="BE51" s="81" t="str">
        <f t="shared" si="74"/>
        <v/>
      </c>
      <c r="BF51" s="81" t="str">
        <f t="shared" si="74"/>
        <v/>
      </c>
      <c r="BG51" s="81" t="str">
        <f t="shared" si="74"/>
        <v/>
      </c>
      <c r="BH51" s="81" t="str">
        <f t="shared" si="74"/>
        <v/>
      </c>
      <c r="BI51" s="81" t="str">
        <f t="shared" si="74"/>
        <v/>
      </c>
      <c r="BJ51" s="81" t="str">
        <f t="shared" si="74"/>
        <v/>
      </c>
      <c r="BK51" s="81" t="str">
        <f t="shared" si="74"/>
        <v/>
      </c>
      <c r="BL51" s="81" t="str">
        <f t="shared" si="74"/>
        <v/>
      </c>
      <c r="BM51" s="81" t="str">
        <f t="shared" si="74"/>
        <v/>
      </c>
      <c r="BN51" s="81" t="str">
        <f t="shared" si="74"/>
        <v/>
      </c>
      <c r="BO51" s="81" t="str">
        <f t="shared" si="74"/>
        <v/>
      </c>
      <c r="BP51" s="81" t="str">
        <f t="shared" si="74"/>
        <v/>
      </c>
      <c r="BQ51" s="82" t="str">
        <f t="shared" si="74"/>
        <v/>
      </c>
      <c r="BR51" s="11" t="s">
        <v>0</v>
      </c>
    </row>
    <row r="52" spans="1:70" ht="19.5" customHeight="1" outlineLevel="1">
      <c r="A52" s="307"/>
      <c r="B52" s="83" t="s">
        <v>580</v>
      </c>
      <c r="C52" s="84"/>
      <c r="D52" s="85"/>
      <c r="E52" s="35"/>
      <c r="F52" s="108" t="s">
        <v>581</v>
      </c>
      <c r="G52" s="108"/>
      <c r="H52" s="35"/>
      <c r="I52" s="38"/>
      <c r="J52" s="109" t="s">
        <v>582</v>
      </c>
      <c r="K52" s="87" t="s">
        <v>583</v>
      </c>
      <c r="L52" s="249" t="s">
        <v>568</v>
      </c>
      <c r="M52" s="38"/>
      <c r="N52" s="49"/>
      <c r="O52" s="32">
        <f t="shared" si="64"/>
        <v>0</v>
      </c>
      <c r="P52" s="53"/>
      <c r="Q52" s="53"/>
      <c r="R52" s="49"/>
      <c r="S52" s="38"/>
      <c r="T52" s="53"/>
      <c r="U52" s="53"/>
      <c r="V52" s="49"/>
      <c r="W52" s="32">
        <f t="shared" si="65"/>
        <v>0</v>
      </c>
      <c r="X52" s="53"/>
      <c r="Y52" s="53"/>
      <c r="Z52" s="50"/>
      <c r="AA52" s="110"/>
      <c r="AB52" s="50"/>
      <c r="AC52" s="111">
        <v>1</v>
      </c>
      <c r="AD52" s="110" t="s">
        <v>549</v>
      </c>
      <c r="AE52" s="110"/>
      <c r="AF52" s="112"/>
      <c r="AG52" s="41" t="s">
        <v>584</v>
      </c>
      <c r="AH52" s="28"/>
      <c r="AI52" s="323" t="str">
        <f t="shared" ref="AI52:BQ52" si="75">IFERROR(IF(AND($T52&gt;=(EOMONTH(AI$8,-1)+1),$U52&lt;AJ$8,$I52="M"),"u",""),"")</f>
        <v/>
      </c>
      <c r="AJ52" s="113" t="str">
        <f t="shared" si="75"/>
        <v/>
      </c>
      <c r="AK52" s="113" t="str">
        <f t="shared" si="75"/>
        <v/>
      </c>
      <c r="AL52" s="113" t="str">
        <f t="shared" si="75"/>
        <v/>
      </c>
      <c r="AM52" s="113" t="str">
        <f t="shared" si="75"/>
        <v/>
      </c>
      <c r="AN52" s="113" t="str">
        <f t="shared" si="75"/>
        <v/>
      </c>
      <c r="AO52" s="113" t="str">
        <f t="shared" si="75"/>
        <v/>
      </c>
      <c r="AP52" s="113" t="str">
        <f t="shared" si="75"/>
        <v/>
      </c>
      <c r="AQ52" s="113" t="str">
        <f t="shared" si="75"/>
        <v/>
      </c>
      <c r="AR52" s="113" t="str">
        <f t="shared" si="75"/>
        <v/>
      </c>
      <c r="AS52" s="113" t="str">
        <f t="shared" si="75"/>
        <v/>
      </c>
      <c r="AT52" s="113" t="str">
        <f t="shared" si="75"/>
        <v/>
      </c>
      <c r="AU52" s="113" t="str">
        <f t="shared" si="75"/>
        <v/>
      </c>
      <c r="AV52" s="113" t="str">
        <f t="shared" si="75"/>
        <v/>
      </c>
      <c r="AW52" s="113" t="str">
        <f t="shared" si="75"/>
        <v/>
      </c>
      <c r="AX52" s="113" t="str">
        <f t="shared" si="75"/>
        <v/>
      </c>
      <c r="AY52" s="113" t="str">
        <f t="shared" si="75"/>
        <v/>
      </c>
      <c r="AZ52" s="113" t="str">
        <f t="shared" si="75"/>
        <v/>
      </c>
      <c r="BA52" s="113" t="str">
        <f t="shared" si="75"/>
        <v/>
      </c>
      <c r="BB52" s="113" t="str">
        <f t="shared" si="75"/>
        <v/>
      </c>
      <c r="BC52" s="113" t="str">
        <f t="shared" si="75"/>
        <v/>
      </c>
      <c r="BD52" s="113" t="str">
        <f t="shared" si="75"/>
        <v/>
      </c>
      <c r="BE52" s="113" t="str">
        <f t="shared" si="75"/>
        <v/>
      </c>
      <c r="BF52" s="113" t="str">
        <f t="shared" si="75"/>
        <v/>
      </c>
      <c r="BG52" s="113" t="str">
        <f t="shared" si="75"/>
        <v/>
      </c>
      <c r="BH52" s="113" t="str">
        <f t="shared" si="75"/>
        <v/>
      </c>
      <c r="BI52" s="113" t="str">
        <f t="shared" si="75"/>
        <v/>
      </c>
      <c r="BJ52" s="113" t="str">
        <f t="shared" si="75"/>
        <v/>
      </c>
      <c r="BK52" s="113" t="str">
        <f t="shared" si="75"/>
        <v/>
      </c>
      <c r="BL52" s="113" t="str">
        <f t="shared" si="75"/>
        <v/>
      </c>
      <c r="BM52" s="113" t="str">
        <f t="shared" si="75"/>
        <v/>
      </c>
      <c r="BN52" s="113" t="str">
        <f t="shared" si="75"/>
        <v/>
      </c>
      <c r="BO52" s="113" t="str">
        <f t="shared" si="75"/>
        <v/>
      </c>
      <c r="BP52" s="113" t="str">
        <f t="shared" si="75"/>
        <v/>
      </c>
      <c r="BQ52" s="114" t="str">
        <f t="shared" si="75"/>
        <v/>
      </c>
      <c r="BR52" s="11" t="s">
        <v>0</v>
      </c>
    </row>
    <row r="53" spans="1:70" ht="19.5" customHeight="1" collapsed="1">
      <c r="A53" s="324">
        <v>9</v>
      </c>
      <c r="B53" s="115"/>
      <c r="C53" s="116"/>
      <c r="D53" s="117"/>
      <c r="E53" s="118" t="s">
        <v>585</v>
      </c>
      <c r="F53" s="118"/>
      <c r="G53" s="118"/>
      <c r="H53" s="118"/>
      <c r="I53" s="119"/>
      <c r="J53" s="120"/>
      <c r="K53" s="121"/>
      <c r="L53" s="325" t="s">
        <v>586</v>
      </c>
      <c r="M53" s="122"/>
      <c r="N53" s="123"/>
      <c r="O53" s="122">
        <f t="shared" si="64"/>
        <v>0</v>
      </c>
      <c r="P53" s="124">
        <f>MIN(P54:P61)</f>
        <v>0</v>
      </c>
      <c r="Q53" s="124">
        <f>MAX(Q54:Q61)</f>
        <v>0</v>
      </c>
      <c r="R53" s="123"/>
      <c r="S53" s="122">
        <f>IF(T53=0,"",U53-T53)</f>
        <v>156</v>
      </c>
      <c r="T53" s="124">
        <f>MIN(T54:T61)</f>
        <v>45413</v>
      </c>
      <c r="U53" s="124">
        <f>MAX(U54:U61)</f>
        <v>45569</v>
      </c>
      <c r="V53" s="123"/>
      <c r="W53" s="122">
        <f t="shared" si="65"/>
        <v>110</v>
      </c>
      <c r="X53" s="124">
        <f>MIN(X54:X61)</f>
        <v>45413</v>
      </c>
      <c r="Y53" s="124">
        <f>MAX(Y54:Y61)</f>
        <v>45566</v>
      </c>
      <c r="Z53" s="125"/>
      <c r="AA53" s="126"/>
      <c r="AB53" s="125"/>
      <c r="AC53" s="127"/>
      <c r="AD53" s="126"/>
      <c r="AE53" s="126"/>
      <c r="AF53" s="128"/>
      <c r="AG53" s="128" t="s">
        <v>584</v>
      </c>
      <c r="AH53" s="129"/>
      <c r="AI53" s="326" t="str">
        <f t="shared" ref="AI53:BQ53" si="76">IFERROR(IF(AND($T53&gt;=(EOMONTH(AI$8,-1)+1),$U53&lt;AJ$8,$I53="M"),"u",""),"")</f>
        <v/>
      </c>
      <c r="AJ53" s="130" t="str">
        <f t="shared" si="76"/>
        <v/>
      </c>
      <c r="AK53" s="130" t="str">
        <f t="shared" si="76"/>
        <v/>
      </c>
      <c r="AL53" s="130" t="str">
        <f t="shared" si="76"/>
        <v/>
      </c>
      <c r="AM53" s="130" t="str">
        <f t="shared" si="76"/>
        <v/>
      </c>
      <c r="AN53" s="130" t="str">
        <f t="shared" si="76"/>
        <v/>
      </c>
      <c r="AO53" s="130" t="str">
        <f t="shared" si="76"/>
        <v/>
      </c>
      <c r="AP53" s="130" t="str">
        <f t="shared" si="76"/>
        <v/>
      </c>
      <c r="AQ53" s="130" t="str">
        <f t="shared" si="76"/>
        <v/>
      </c>
      <c r="AR53" s="130" t="str">
        <f t="shared" si="76"/>
        <v/>
      </c>
      <c r="AS53" s="130" t="str">
        <f t="shared" si="76"/>
        <v/>
      </c>
      <c r="AT53" s="130" t="str">
        <f t="shared" si="76"/>
        <v/>
      </c>
      <c r="AU53" s="130" t="str">
        <f t="shared" si="76"/>
        <v/>
      </c>
      <c r="AV53" s="130" t="str">
        <f t="shared" si="76"/>
        <v/>
      </c>
      <c r="AW53" s="130" t="str">
        <f t="shared" si="76"/>
        <v/>
      </c>
      <c r="AX53" s="130" t="str">
        <f t="shared" si="76"/>
        <v/>
      </c>
      <c r="AY53" s="130" t="str">
        <f t="shared" si="76"/>
        <v/>
      </c>
      <c r="AZ53" s="130" t="str">
        <f t="shared" si="76"/>
        <v/>
      </c>
      <c r="BA53" s="130" t="str">
        <f t="shared" si="76"/>
        <v/>
      </c>
      <c r="BB53" s="130" t="str">
        <f t="shared" si="76"/>
        <v/>
      </c>
      <c r="BC53" s="130" t="str">
        <f t="shared" si="76"/>
        <v/>
      </c>
      <c r="BD53" s="130" t="str">
        <f t="shared" si="76"/>
        <v/>
      </c>
      <c r="BE53" s="130" t="str">
        <f t="shared" si="76"/>
        <v/>
      </c>
      <c r="BF53" s="130" t="str">
        <f t="shared" si="76"/>
        <v/>
      </c>
      <c r="BG53" s="130" t="str">
        <f t="shared" si="76"/>
        <v/>
      </c>
      <c r="BH53" s="130" t="str">
        <f t="shared" si="76"/>
        <v/>
      </c>
      <c r="BI53" s="130" t="str">
        <f t="shared" si="76"/>
        <v/>
      </c>
      <c r="BJ53" s="130" t="str">
        <f t="shared" si="76"/>
        <v/>
      </c>
      <c r="BK53" s="130" t="str">
        <f t="shared" si="76"/>
        <v/>
      </c>
      <c r="BL53" s="130" t="str">
        <f t="shared" si="76"/>
        <v/>
      </c>
      <c r="BM53" s="130" t="str">
        <f t="shared" si="76"/>
        <v/>
      </c>
      <c r="BN53" s="130" t="str">
        <f t="shared" si="76"/>
        <v/>
      </c>
      <c r="BO53" s="130" t="str">
        <f t="shared" si="76"/>
        <v/>
      </c>
      <c r="BP53" s="130" t="str">
        <f t="shared" si="76"/>
        <v/>
      </c>
      <c r="BQ53" s="131" t="str">
        <f t="shared" si="76"/>
        <v/>
      </c>
      <c r="BR53" s="132" t="s">
        <v>0</v>
      </c>
    </row>
    <row r="54" spans="1:70" ht="19.5" hidden="1" customHeight="1" outlineLevel="1">
      <c r="A54" s="324"/>
      <c r="B54" s="115">
        <v>9.1</v>
      </c>
      <c r="C54" s="116"/>
      <c r="D54" s="117"/>
      <c r="E54" s="118"/>
      <c r="F54" s="118" t="s">
        <v>587</v>
      </c>
      <c r="G54" s="118"/>
      <c r="H54" s="118"/>
      <c r="I54" s="119"/>
      <c r="J54" s="120" t="s">
        <v>588</v>
      </c>
      <c r="K54" s="121" t="s">
        <v>589</v>
      </c>
      <c r="L54" s="325" t="s">
        <v>586</v>
      </c>
      <c r="M54" s="122"/>
      <c r="N54" s="123"/>
      <c r="O54" s="122">
        <f t="shared" si="64"/>
        <v>0</v>
      </c>
      <c r="P54" s="327"/>
      <c r="Q54" s="327"/>
      <c r="R54" s="123"/>
      <c r="S54" s="122"/>
      <c r="T54" s="124">
        <f>T45</f>
        <v>45413</v>
      </c>
      <c r="U54" s="133">
        <f>T54+S54</f>
        <v>45413</v>
      </c>
      <c r="V54" s="123"/>
      <c r="W54" s="122">
        <f t="shared" si="65"/>
        <v>1</v>
      </c>
      <c r="X54" s="327">
        <f t="shared" ref="X54:Y54" si="77">T54</f>
        <v>45413</v>
      </c>
      <c r="Y54" s="327">
        <f t="shared" si="77"/>
        <v>45413</v>
      </c>
      <c r="Z54" s="125"/>
      <c r="AA54" s="126"/>
      <c r="AB54" s="125"/>
      <c r="AC54" s="127"/>
      <c r="AD54" s="126" t="s">
        <v>590</v>
      </c>
      <c r="AE54" s="126"/>
      <c r="AF54" s="128"/>
      <c r="AG54" s="128" t="s">
        <v>584</v>
      </c>
      <c r="AH54" s="129"/>
      <c r="AI54" s="326" t="str">
        <f t="shared" ref="AI54:BQ54" si="78">IFERROR(IF(AND($T54&gt;=(EOMONTH(AI$8,-1)+1),$U54&lt;AJ$8,$I54="M"),"u",""),"")</f>
        <v/>
      </c>
      <c r="AJ54" s="130" t="str">
        <f t="shared" si="78"/>
        <v/>
      </c>
      <c r="AK54" s="130" t="str">
        <f t="shared" si="78"/>
        <v/>
      </c>
      <c r="AL54" s="130" t="str">
        <f t="shared" si="78"/>
        <v/>
      </c>
      <c r="AM54" s="130" t="str">
        <f t="shared" si="78"/>
        <v/>
      </c>
      <c r="AN54" s="130" t="str">
        <f t="shared" si="78"/>
        <v/>
      </c>
      <c r="AO54" s="130" t="str">
        <f t="shared" si="78"/>
        <v/>
      </c>
      <c r="AP54" s="130" t="str">
        <f t="shared" si="78"/>
        <v/>
      </c>
      <c r="AQ54" s="130" t="str">
        <f t="shared" si="78"/>
        <v/>
      </c>
      <c r="AR54" s="130" t="str">
        <f t="shared" si="78"/>
        <v/>
      </c>
      <c r="AS54" s="130" t="str">
        <f t="shared" si="78"/>
        <v/>
      </c>
      <c r="AT54" s="130" t="str">
        <f t="shared" si="78"/>
        <v/>
      </c>
      <c r="AU54" s="130" t="str">
        <f t="shared" si="78"/>
        <v/>
      </c>
      <c r="AV54" s="130" t="str">
        <f t="shared" si="78"/>
        <v/>
      </c>
      <c r="AW54" s="130" t="str">
        <f t="shared" si="78"/>
        <v/>
      </c>
      <c r="AX54" s="130" t="str">
        <f t="shared" si="78"/>
        <v/>
      </c>
      <c r="AY54" s="130" t="str">
        <f t="shared" si="78"/>
        <v/>
      </c>
      <c r="AZ54" s="130" t="str">
        <f t="shared" si="78"/>
        <v/>
      </c>
      <c r="BA54" s="130" t="str">
        <f t="shared" si="78"/>
        <v/>
      </c>
      <c r="BB54" s="130" t="str">
        <f t="shared" si="78"/>
        <v/>
      </c>
      <c r="BC54" s="130" t="str">
        <f t="shared" si="78"/>
        <v/>
      </c>
      <c r="BD54" s="130" t="str">
        <f t="shared" si="78"/>
        <v/>
      </c>
      <c r="BE54" s="130" t="str">
        <f t="shared" si="78"/>
        <v/>
      </c>
      <c r="BF54" s="130" t="str">
        <f t="shared" si="78"/>
        <v/>
      </c>
      <c r="BG54" s="130" t="str">
        <f t="shared" si="78"/>
        <v/>
      </c>
      <c r="BH54" s="130" t="str">
        <f t="shared" si="78"/>
        <v/>
      </c>
      <c r="BI54" s="130" t="str">
        <f t="shared" si="78"/>
        <v/>
      </c>
      <c r="BJ54" s="130" t="str">
        <f t="shared" si="78"/>
        <v/>
      </c>
      <c r="BK54" s="130" t="str">
        <f t="shared" si="78"/>
        <v/>
      </c>
      <c r="BL54" s="130" t="str">
        <f t="shared" si="78"/>
        <v/>
      </c>
      <c r="BM54" s="130" t="str">
        <f t="shared" si="78"/>
        <v/>
      </c>
      <c r="BN54" s="130" t="str">
        <f t="shared" si="78"/>
        <v/>
      </c>
      <c r="BO54" s="130" t="str">
        <f t="shared" si="78"/>
        <v/>
      </c>
      <c r="BP54" s="130" t="str">
        <f t="shared" si="78"/>
        <v/>
      </c>
      <c r="BQ54" s="131" t="str">
        <f t="shared" si="78"/>
        <v/>
      </c>
      <c r="BR54" s="132" t="s">
        <v>0</v>
      </c>
    </row>
    <row r="55" spans="1:70" ht="19.5" hidden="1" customHeight="1" outlineLevel="1">
      <c r="A55" s="324"/>
      <c r="B55" s="115">
        <v>9.1999999999999993</v>
      </c>
      <c r="C55" s="116"/>
      <c r="D55" s="117"/>
      <c r="E55" s="118"/>
      <c r="F55" s="118" t="s">
        <v>591</v>
      </c>
      <c r="G55" s="118"/>
      <c r="H55" s="134"/>
      <c r="I55" s="119" t="s">
        <v>45</v>
      </c>
      <c r="J55" s="120" t="s">
        <v>592</v>
      </c>
      <c r="K55" s="121" t="s">
        <v>592</v>
      </c>
      <c r="L55" s="325" t="s">
        <v>586</v>
      </c>
      <c r="M55" s="122"/>
      <c r="N55" s="123"/>
      <c r="O55" s="122">
        <f t="shared" si="64"/>
        <v>0</v>
      </c>
      <c r="P55" s="327"/>
      <c r="Q55" s="327"/>
      <c r="R55" s="123"/>
      <c r="S55" s="122"/>
      <c r="T55" s="124"/>
      <c r="U55" s="133"/>
      <c r="V55" s="123"/>
      <c r="W55" s="122">
        <f t="shared" si="65"/>
        <v>39</v>
      </c>
      <c r="X55" s="327">
        <f>MIN(X56:X59)</f>
        <v>45512</v>
      </c>
      <c r="Y55" s="327">
        <f>MAX(Y56:Y59)</f>
        <v>45566</v>
      </c>
      <c r="Z55" s="125"/>
      <c r="AA55" s="126"/>
      <c r="AB55" s="125"/>
      <c r="AC55" s="127"/>
      <c r="AD55" s="126"/>
      <c r="AE55" s="126"/>
      <c r="AF55" s="128"/>
      <c r="AG55" s="128"/>
      <c r="AH55" s="129"/>
      <c r="AI55" s="326" t="str">
        <f t="shared" ref="AI55:BQ55" si="79">IFERROR(IF(AND($T55&gt;=(EOMONTH(AI$8,-1)+1),$U55&lt;AJ$8,$I55="M"),"u",""),"")</f>
        <v/>
      </c>
      <c r="AJ55" s="130" t="str">
        <f t="shared" si="79"/>
        <v/>
      </c>
      <c r="AK55" s="130" t="str">
        <f t="shared" si="79"/>
        <v/>
      </c>
      <c r="AL55" s="130" t="str">
        <f t="shared" si="79"/>
        <v/>
      </c>
      <c r="AM55" s="130" t="str">
        <f t="shared" si="79"/>
        <v/>
      </c>
      <c r="AN55" s="130" t="str">
        <f t="shared" si="79"/>
        <v/>
      </c>
      <c r="AO55" s="130" t="str">
        <f t="shared" si="79"/>
        <v/>
      </c>
      <c r="AP55" s="130" t="str">
        <f t="shared" si="79"/>
        <v/>
      </c>
      <c r="AQ55" s="130" t="str">
        <f t="shared" si="79"/>
        <v/>
      </c>
      <c r="AR55" s="130" t="str">
        <f t="shared" si="79"/>
        <v/>
      </c>
      <c r="AS55" s="130" t="str">
        <f t="shared" si="79"/>
        <v/>
      </c>
      <c r="AT55" s="130" t="str">
        <f t="shared" si="79"/>
        <v/>
      </c>
      <c r="AU55" s="130" t="str">
        <f t="shared" si="79"/>
        <v/>
      </c>
      <c r="AV55" s="130" t="str">
        <f t="shared" si="79"/>
        <v/>
      </c>
      <c r="AW55" s="130" t="str">
        <f t="shared" si="79"/>
        <v/>
      </c>
      <c r="AX55" s="130" t="str">
        <f t="shared" si="79"/>
        <v/>
      </c>
      <c r="AY55" s="130" t="str">
        <f t="shared" si="79"/>
        <v/>
      </c>
      <c r="AZ55" s="130" t="str">
        <f t="shared" si="79"/>
        <v/>
      </c>
      <c r="BA55" s="130" t="str">
        <f t="shared" si="79"/>
        <v/>
      </c>
      <c r="BB55" s="130" t="str">
        <f t="shared" si="79"/>
        <v/>
      </c>
      <c r="BC55" s="130" t="str">
        <f t="shared" si="79"/>
        <v/>
      </c>
      <c r="BD55" s="130" t="str">
        <f t="shared" si="79"/>
        <v/>
      </c>
      <c r="BE55" s="130" t="str">
        <f t="shared" si="79"/>
        <v/>
      </c>
      <c r="BF55" s="130" t="str">
        <f t="shared" si="79"/>
        <v/>
      </c>
      <c r="BG55" s="130" t="str">
        <f t="shared" si="79"/>
        <v/>
      </c>
      <c r="BH55" s="130" t="str">
        <f t="shared" si="79"/>
        <v/>
      </c>
      <c r="BI55" s="130" t="str">
        <f t="shared" si="79"/>
        <v/>
      </c>
      <c r="BJ55" s="130" t="str">
        <f t="shared" si="79"/>
        <v/>
      </c>
      <c r="BK55" s="130" t="str">
        <f t="shared" si="79"/>
        <v/>
      </c>
      <c r="BL55" s="130" t="str">
        <f t="shared" si="79"/>
        <v/>
      </c>
      <c r="BM55" s="130" t="str">
        <f t="shared" si="79"/>
        <v/>
      </c>
      <c r="BN55" s="130" t="str">
        <f t="shared" si="79"/>
        <v/>
      </c>
      <c r="BO55" s="130" t="str">
        <f t="shared" si="79"/>
        <v/>
      </c>
      <c r="BP55" s="130" t="str">
        <f t="shared" si="79"/>
        <v/>
      </c>
      <c r="BQ55" s="131" t="str">
        <f t="shared" si="79"/>
        <v/>
      </c>
      <c r="BR55" s="132" t="s">
        <v>0</v>
      </c>
    </row>
    <row r="56" spans="1:70" ht="19.5" hidden="1" customHeight="1" outlineLevel="1">
      <c r="A56" s="324"/>
      <c r="B56" s="115"/>
      <c r="C56" s="116"/>
      <c r="D56" s="117"/>
      <c r="E56" s="118"/>
      <c r="F56" s="118"/>
      <c r="G56" s="118" t="s">
        <v>593</v>
      </c>
      <c r="H56" s="134"/>
      <c r="I56" s="119" t="s">
        <v>45</v>
      </c>
      <c r="J56" s="120" t="s">
        <v>592</v>
      </c>
      <c r="K56" s="121" t="s">
        <v>592</v>
      </c>
      <c r="L56" s="325" t="s">
        <v>586</v>
      </c>
      <c r="M56" s="122"/>
      <c r="N56" s="123"/>
      <c r="O56" s="122">
        <f t="shared" si="64"/>
        <v>0</v>
      </c>
      <c r="P56" s="327"/>
      <c r="Q56" s="327"/>
      <c r="R56" s="123"/>
      <c r="S56" s="122">
        <f t="shared" ref="S56:S59" si="80">NETWORKDAYS(T56,U56)</f>
        <v>1</v>
      </c>
      <c r="T56" s="327">
        <v>45512</v>
      </c>
      <c r="U56" s="327">
        <v>45512</v>
      </c>
      <c r="V56" s="123"/>
      <c r="W56" s="122">
        <f t="shared" si="65"/>
        <v>1</v>
      </c>
      <c r="X56" s="327">
        <v>45512</v>
      </c>
      <c r="Y56" s="327">
        <v>45512</v>
      </c>
      <c r="Z56" s="125"/>
      <c r="AA56" s="126"/>
      <c r="AB56" s="125"/>
      <c r="AC56" s="127"/>
      <c r="AD56" s="126"/>
      <c r="AE56" s="126"/>
      <c r="AF56" s="128"/>
      <c r="AG56" s="128" t="s">
        <v>594</v>
      </c>
      <c r="AH56" s="129"/>
      <c r="AI56" s="326" t="str">
        <f t="shared" ref="AI56:BQ56" si="81">IFERROR(IF(AND($T56&gt;=(EOMONTH(AI$8,-1)+1),$U56&lt;AJ$8,$I56="M"),"u",""),"")</f>
        <v/>
      </c>
      <c r="AJ56" s="130" t="str">
        <f t="shared" si="81"/>
        <v/>
      </c>
      <c r="AK56" s="130" t="str">
        <f t="shared" si="81"/>
        <v/>
      </c>
      <c r="AL56" s="130" t="str">
        <f t="shared" si="81"/>
        <v/>
      </c>
      <c r="AM56" s="130" t="str">
        <f t="shared" si="81"/>
        <v/>
      </c>
      <c r="AN56" s="130" t="str">
        <f t="shared" si="81"/>
        <v/>
      </c>
      <c r="AO56" s="130" t="str">
        <f t="shared" si="81"/>
        <v/>
      </c>
      <c r="AP56" s="130" t="str">
        <f t="shared" si="81"/>
        <v/>
      </c>
      <c r="AQ56" s="130" t="str">
        <f t="shared" si="81"/>
        <v/>
      </c>
      <c r="AR56" s="130" t="str">
        <f t="shared" si="81"/>
        <v/>
      </c>
      <c r="AS56" s="130" t="str">
        <f t="shared" si="81"/>
        <v/>
      </c>
      <c r="AT56" s="130" t="str">
        <f t="shared" si="81"/>
        <v/>
      </c>
      <c r="AU56" s="130" t="str">
        <f t="shared" si="81"/>
        <v/>
      </c>
      <c r="AV56" s="130" t="str">
        <f t="shared" si="81"/>
        <v/>
      </c>
      <c r="AW56" s="130" t="str">
        <f t="shared" si="81"/>
        <v/>
      </c>
      <c r="AX56" s="130" t="str">
        <f t="shared" si="81"/>
        <v/>
      </c>
      <c r="AY56" s="130" t="str">
        <f t="shared" si="81"/>
        <v/>
      </c>
      <c r="AZ56" s="130" t="str">
        <f t="shared" si="81"/>
        <v/>
      </c>
      <c r="BA56" s="130" t="str">
        <f t="shared" si="81"/>
        <v/>
      </c>
      <c r="BB56" s="130" t="str">
        <f t="shared" si="81"/>
        <v/>
      </c>
      <c r="BC56" s="130" t="str">
        <f t="shared" si="81"/>
        <v/>
      </c>
      <c r="BD56" s="130" t="str">
        <f t="shared" si="81"/>
        <v/>
      </c>
      <c r="BE56" s="130" t="str">
        <f t="shared" si="81"/>
        <v/>
      </c>
      <c r="BF56" s="130" t="str">
        <f t="shared" si="81"/>
        <v/>
      </c>
      <c r="BG56" s="130" t="str">
        <f t="shared" si="81"/>
        <v/>
      </c>
      <c r="BH56" s="130" t="str">
        <f t="shared" si="81"/>
        <v/>
      </c>
      <c r="BI56" s="130" t="str">
        <f t="shared" si="81"/>
        <v/>
      </c>
      <c r="BJ56" s="130" t="str">
        <f t="shared" si="81"/>
        <v/>
      </c>
      <c r="BK56" s="130" t="str">
        <f t="shared" si="81"/>
        <v/>
      </c>
      <c r="BL56" s="130" t="str">
        <f t="shared" si="81"/>
        <v/>
      </c>
      <c r="BM56" s="130" t="str">
        <f t="shared" si="81"/>
        <v/>
      </c>
      <c r="BN56" s="130" t="str">
        <f t="shared" si="81"/>
        <v/>
      </c>
      <c r="BO56" s="130" t="str">
        <f t="shared" si="81"/>
        <v/>
      </c>
      <c r="BP56" s="130" t="str">
        <f t="shared" si="81"/>
        <v/>
      </c>
      <c r="BQ56" s="131" t="str">
        <f t="shared" si="81"/>
        <v/>
      </c>
      <c r="BR56" s="132" t="s">
        <v>0</v>
      </c>
    </row>
    <row r="57" spans="1:70" ht="19.5" hidden="1" customHeight="1" outlineLevel="1">
      <c r="A57" s="324"/>
      <c r="B57" s="115"/>
      <c r="C57" s="116"/>
      <c r="D57" s="117"/>
      <c r="E57" s="118"/>
      <c r="F57" s="118"/>
      <c r="G57" s="118" t="s">
        <v>595</v>
      </c>
      <c r="H57" s="134"/>
      <c r="I57" s="119" t="s">
        <v>45</v>
      </c>
      <c r="J57" s="120" t="s">
        <v>592</v>
      </c>
      <c r="K57" s="121" t="s">
        <v>592</v>
      </c>
      <c r="L57" s="325" t="s">
        <v>586</v>
      </c>
      <c r="M57" s="122"/>
      <c r="N57" s="123"/>
      <c r="O57" s="122">
        <f t="shared" si="64"/>
        <v>0</v>
      </c>
      <c r="P57" s="327"/>
      <c r="Q57" s="327"/>
      <c r="R57" s="123"/>
      <c r="S57" s="122">
        <f t="shared" si="80"/>
        <v>11</v>
      </c>
      <c r="T57" s="327">
        <v>45541</v>
      </c>
      <c r="U57" s="327">
        <f>T57+15</f>
        <v>45556</v>
      </c>
      <c r="V57" s="123"/>
      <c r="W57" s="122">
        <f t="shared" si="65"/>
        <v>11</v>
      </c>
      <c r="X57" s="327">
        <v>45541</v>
      </c>
      <c r="Y57" s="327">
        <f>X57+15</f>
        <v>45556</v>
      </c>
      <c r="Z57" s="125"/>
      <c r="AA57" s="126"/>
      <c r="AB57" s="125"/>
      <c r="AC57" s="127"/>
      <c r="AD57" s="126"/>
      <c r="AE57" s="126"/>
      <c r="AF57" s="128"/>
      <c r="AG57" s="128" t="s">
        <v>594</v>
      </c>
      <c r="AH57" s="129"/>
      <c r="AI57" s="326" t="str">
        <f t="shared" ref="AI57:BQ57" si="82">IFERROR(IF(AND($T57&gt;=(EOMONTH(AI$8,-1)+1),$U57&lt;AJ$8,$I57="M"),"u",""),"")</f>
        <v/>
      </c>
      <c r="AJ57" s="130" t="str">
        <f t="shared" si="82"/>
        <v/>
      </c>
      <c r="AK57" s="130" t="str">
        <f t="shared" si="82"/>
        <v/>
      </c>
      <c r="AL57" s="130" t="str">
        <f t="shared" si="82"/>
        <v/>
      </c>
      <c r="AM57" s="130" t="str">
        <f t="shared" si="82"/>
        <v/>
      </c>
      <c r="AN57" s="130" t="str">
        <f t="shared" si="82"/>
        <v/>
      </c>
      <c r="AO57" s="130" t="str">
        <f t="shared" si="82"/>
        <v/>
      </c>
      <c r="AP57" s="130" t="str">
        <f t="shared" si="82"/>
        <v/>
      </c>
      <c r="AQ57" s="130" t="str">
        <f t="shared" si="82"/>
        <v/>
      </c>
      <c r="AR57" s="130" t="str">
        <f t="shared" si="82"/>
        <v/>
      </c>
      <c r="AS57" s="130" t="str">
        <f t="shared" si="82"/>
        <v/>
      </c>
      <c r="AT57" s="130" t="str">
        <f t="shared" si="82"/>
        <v/>
      </c>
      <c r="AU57" s="130" t="str">
        <f t="shared" si="82"/>
        <v/>
      </c>
      <c r="AV57" s="130" t="str">
        <f t="shared" si="82"/>
        <v/>
      </c>
      <c r="AW57" s="130" t="str">
        <f t="shared" si="82"/>
        <v/>
      </c>
      <c r="AX57" s="130" t="str">
        <f t="shared" si="82"/>
        <v/>
      </c>
      <c r="AY57" s="130" t="str">
        <f t="shared" si="82"/>
        <v/>
      </c>
      <c r="AZ57" s="130" t="str">
        <f t="shared" si="82"/>
        <v/>
      </c>
      <c r="BA57" s="130" t="str">
        <f t="shared" si="82"/>
        <v/>
      </c>
      <c r="BB57" s="130" t="str">
        <f t="shared" si="82"/>
        <v/>
      </c>
      <c r="BC57" s="130" t="str">
        <f t="shared" si="82"/>
        <v/>
      </c>
      <c r="BD57" s="130" t="str">
        <f t="shared" si="82"/>
        <v/>
      </c>
      <c r="BE57" s="130" t="str">
        <f t="shared" si="82"/>
        <v/>
      </c>
      <c r="BF57" s="130" t="str">
        <f t="shared" si="82"/>
        <v/>
      </c>
      <c r="BG57" s="130" t="str">
        <f t="shared" si="82"/>
        <v/>
      </c>
      <c r="BH57" s="130" t="str">
        <f t="shared" si="82"/>
        <v/>
      </c>
      <c r="BI57" s="130" t="str">
        <f t="shared" si="82"/>
        <v/>
      </c>
      <c r="BJ57" s="130" t="str">
        <f t="shared" si="82"/>
        <v/>
      </c>
      <c r="BK57" s="130" t="str">
        <f t="shared" si="82"/>
        <v/>
      </c>
      <c r="BL57" s="130" t="str">
        <f t="shared" si="82"/>
        <v/>
      </c>
      <c r="BM57" s="130" t="str">
        <f t="shared" si="82"/>
        <v/>
      </c>
      <c r="BN57" s="130" t="str">
        <f t="shared" si="82"/>
        <v/>
      </c>
      <c r="BO57" s="130" t="str">
        <f t="shared" si="82"/>
        <v/>
      </c>
      <c r="BP57" s="130" t="str">
        <f t="shared" si="82"/>
        <v/>
      </c>
      <c r="BQ57" s="131" t="str">
        <f t="shared" si="82"/>
        <v/>
      </c>
      <c r="BR57" s="132" t="s">
        <v>0</v>
      </c>
    </row>
    <row r="58" spans="1:70" ht="19.5" hidden="1" customHeight="1" outlineLevel="1">
      <c r="A58" s="324"/>
      <c r="B58" s="115"/>
      <c r="C58" s="116"/>
      <c r="D58" s="117"/>
      <c r="E58" s="118"/>
      <c r="F58" s="118"/>
      <c r="G58" s="118" t="s">
        <v>596</v>
      </c>
      <c r="H58" s="134"/>
      <c r="I58" s="119" t="s">
        <v>45</v>
      </c>
      <c r="J58" s="120" t="s">
        <v>592</v>
      </c>
      <c r="K58" s="121" t="s">
        <v>592</v>
      </c>
      <c r="L58" s="325" t="s">
        <v>586</v>
      </c>
      <c r="M58" s="122"/>
      <c r="N58" s="123"/>
      <c r="O58" s="122">
        <f t="shared" si="64"/>
        <v>0</v>
      </c>
      <c r="P58" s="327"/>
      <c r="Q58" s="327"/>
      <c r="R58" s="123"/>
      <c r="S58" s="122">
        <f t="shared" si="80"/>
        <v>11</v>
      </c>
      <c r="T58" s="327">
        <v>45541</v>
      </c>
      <c r="U58" s="327">
        <f t="shared" ref="U58:U59" si="83">T58+14</f>
        <v>45555</v>
      </c>
      <c r="V58" s="123"/>
      <c r="W58" s="122">
        <f t="shared" si="65"/>
        <v>15</v>
      </c>
      <c r="X58" s="327">
        <v>45541</v>
      </c>
      <c r="Y58" s="327">
        <v>45561</v>
      </c>
      <c r="Z58" s="125"/>
      <c r="AA58" s="126"/>
      <c r="AB58" s="125"/>
      <c r="AC58" s="127"/>
      <c r="AD58" s="126"/>
      <c r="AE58" s="126"/>
      <c r="AF58" s="128"/>
      <c r="AG58" s="128" t="s">
        <v>594</v>
      </c>
      <c r="AH58" s="129"/>
      <c r="AI58" s="326" t="str">
        <f t="shared" ref="AI58:BQ58" si="84">IFERROR(IF(AND($T58&gt;=(EOMONTH(AI$8,-1)+1),$U58&lt;AJ$8,$I58="M"),"u",""),"")</f>
        <v/>
      </c>
      <c r="AJ58" s="130" t="str">
        <f t="shared" si="84"/>
        <v/>
      </c>
      <c r="AK58" s="130" t="str">
        <f t="shared" si="84"/>
        <v/>
      </c>
      <c r="AL58" s="130" t="str">
        <f t="shared" si="84"/>
        <v/>
      </c>
      <c r="AM58" s="130" t="str">
        <f t="shared" si="84"/>
        <v/>
      </c>
      <c r="AN58" s="130" t="str">
        <f t="shared" si="84"/>
        <v/>
      </c>
      <c r="AO58" s="130" t="str">
        <f t="shared" si="84"/>
        <v/>
      </c>
      <c r="AP58" s="130" t="str">
        <f t="shared" si="84"/>
        <v/>
      </c>
      <c r="AQ58" s="130" t="str">
        <f t="shared" si="84"/>
        <v/>
      </c>
      <c r="AR58" s="130" t="str">
        <f t="shared" si="84"/>
        <v/>
      </c>
      <c r="AS58" s="130" t="str">
        <f t="shared" si="84"/>
        <v/>
      </c>
      <c r="AT58" s="130" t="str">
        <f t="shared" si="84"/>
        <v/>
      </c>
      <c r="AU58" s="130" t="str">
        <f t="shared" si="84"/>
        <v/>
      </c>
      <c r="AV58" s="130" t="str">
        <f t="shared" si="84"/>
        <v/>
      </c>
      <c r="AW58" s="130" t="str">
        <f t="shared" si="84"/>
        <v/>
      </c>
      <c r="AX58" s="130" t="str">
        <f t="shared" si="84"/>
        <v/>
      </c>
      <c r="AY58" s="130" t="str">
        <f t="shared" si="84"/>
        <v/>
      </c>
      <c r="AZ58" s="130" t="str">
        <f t="shared" si="84"/>
        <v/>
      </c>
      <c r="BA58" s="130" t="str">
        <f t="shared" si="84"/>
        <v/>
      </c>
      <c r="BB58" s="130" t="str">
        <f t="shared" si="84"/>
        <v/>
      </c>
      <c r="BC58" s="130" t="str">
        <f t="shared" si="84"/>
        <v/>
      </c>
      <c r="BD58" s="130" t="str">
        <f t="shared" si="84"/>
        <v/>
      </c>
      <c r="BE58" s="130" t="str">
        <f t="shared" si="84"/>
        <v/>
      </c>
      <c r="BF58" s="130" t="str">
        <f t="shared" si="84"/>
        <v/>
      </c>
      <c r="BG58" s="130" t="str">
        <f t="shared" si="84"/>
        <v/>
      </c>
      <c r="BH58" s="130" t="str">
        <f t="shared" si="84"/>
        <v/>
      </c>
      <c r="BI58" s="130" t="str">
        <f t="shared" si="84"/>
        <v/>
      </c>
      <c r="BJ58" s="130" t="str">
        <f t="shared" si="84"/>
        <v/>
      </c>
      <c r="BK58" s="130" t="str">
        <f t="shared" si="84"/>
        <v/>
      </c>
      <c r="BL58" s="130" t="str">
        <f t="shared" si="84"/>
        <v/>
      </c>
      <c r="BM58" s="130" t="str">
        <f t="shared" si="84"/>
        <v/>
      </c>
      <c r="BN58" s="130" t="str">
        <f t="shared" si="84"/>
        <v/>
      </c>
      <c r="BO58" s="130" t="str">
        <f t="shared" si="84"/>
        <v/>
      </c>
      <c r="BP58" s="130" t="str">
        <f t="shared" si="84"/>
        <v/>
      </c>
      <c r="BQ58" s="131" t="str">
        <f t="shared" si="84"/>
        <v/>
      </c>
      <c r="BR58" s="132" t="s">
        <v>0</v>
      </c>
    </row>
    <row r="59" spans="1:70" ht="19.5" hidden="1" customHeight="1" outlineLevel="1">
      <c r="A59" s="324"/>
      <c r="B59" s="115"/>
      <c r="C59" s="116"/>
      <c r="D59" s="117"/>
      <c r="E59" s="118"/>
      <c r="F59" s="118"/>
      <c r="G59" s="118" t="s">
        <v>597</v>
      </c>
      <c r="H59" s="134"/>
      <c r="I59" s="119" t="s">
        <v>45</v>
      </c>
      <c r="J59" s="120" t="s">
        <v>592</v>
      </c>
      <c r="K59" s="121" t="s">
        <v>592</v>
      </c>
      <c r="L59" s="325" t="s">
        <v>586</v>
      </c>
      <c r="M59" s="122"/>
      <c r="N59" s="123"/>
      <c r="O59" s="122">
        <f t="shared" si="64"/>
        <v>0</v>
      </c>
      <c r="P59" s="327"/>
      <c r="Q59" s="327"/>
      <c r="R59" s="123"/>
      <c r="S59" s="122">
        <f t="shared" si="80"/>
        <v>11</v>
      </c>
      <c r="T59" s="327">
        <f>U58</f>
        <v>45555</v>
      </c>
      <c r="U59" s="327">
        <f t="shared" si="83"/>
        <v>45569</v>
      </c>
      <c r="V59" s="123"/>
      <c r="W59" s="122">
        <f t="shared" si="65"/>
        <v>4</v>
      </c>
      <c r="X59" s="327">
        <f>Y58</f>
        <v>45561</v>
      </c>
      <c r="Y59" s="327">
        <v>45566</v>
      </c>
      <c r="Z59" s="125"/>
      <c r="AA59" s="126"/>
      <c r="AB59" s="125"/>
      <c r="AC59" s="127"/>
      <c r="AD59" s="126"/>
      <c r="AE59" s="126"/>
      <c r="AF59" s="128"/>
      <c r="AG59" s="128" t="s">
        <v>594</v>
      </c>
      <c r="AH59" s="129"/>
      <c r="AI59" s="326" t="str">
        <f t="shared" ref="AI59:BQ59" si="85">IFERROR(IF(AND($T59&gt;=(EOMONTH(AI$8,-1)+1),$U59&lt;AJ$8,$I59="M"),"u",""),"")</f>
        <v/>
      </c>
      <c r="AJ59" s="130" t="str">
        <f t="shared" si="85"/>
        <v/>
      </c>
      <c r="AK59" s="130" t="str">
        <f t="shared" si="85"/>
        <v/>
      </c>
      <c r="AL59" s="130" t="str">
        <f t="shared" si="85"/>
        <v/>
      </c>
      <c r="AM59" s="130" t="str">
        <f t="shared" si="85"/>
        <v/>
      </c>
      <c r="AN59" s="130" t="str">
        <f t="shared" si="85"/>
        <v/>
      </c>
      <c r="AO59" s="130" t="str">
        <f t="shared" si="85"/>
        <v/>
      </c>
      <c r="AP59" s="130" t="str">
        <f t="shared" si="85"/>
        <v/>
      </c>
      <c r="AQ59" s="130" t="str">
        <f t="shared" si="85"/>
        <v/>
      </c>
      <c r="AR59" s="130" t="str">
        <f t="shared" si="85"/>
        <v/>
      </c>
      <c r="AS59" s="130" t="str">
        <f t="shared" si="85"/>
        <v/>
      </c>
      <c r="AT59" s="130" t="str">
        <f t="shared" si="85"/>
        <v/>
      </c>
      <c r="AU59" s="130" t="str">
        <f t="shared" si="85"/>
        <v/>
      </c>
      <c r="AV59" s="130" t="str">
        <f t="shared" si="85"/>
        <v/>
      </c>
      <c r="AW59" s="130" t="str">
        <f t="shared" si="85"/>
        <v/>
      </c>
      <c r="AX59" s="130" t="str">
        <f t="shared" si="85"/>
        <v/>
      </c>
      <c r="AY59" s="130" t="str">
        <f t="shared" si="85"/>
        <v/>
      </c>
      <c r="AZ59" s="130" t="str">
        <f t="shared" si="85"/>
        <v/>
      </c>
      <c r="BA59" s="130" t="str">
        <f t="shared" si="85"/>
        <v/>
      </c>
      <c r="BB59" s="130" t="str">
        <f t="shared" si="85"/>
        <v/>
      </c>
      <c r="BC59" s="130" t="str">
        <f t="shared" si="85"/>
        <v/>
      </c>
      <c r="BD59" s="130" t="str">
        <f t="shared" si="85"/>
        <v/>
      </c>
      <c r="BE59" s="130" t="str">
        <f t="shared" si="85"/>
        <v/>
      </c>
      <c r="BF59" s="130" t="str">
        <f t="shared" si="85"/>
        <v/>
      </c>
      <c r="BG59" s="130" t="str">
        <f t="shared" si="85"/>
        <v/>
      </c>
      <c r="BH59" s="130" t="str">
        <f t="shared" si="85"/>
        <v/>
      </c>
      <c r="BI59" s="130" t="str">
        <f t="shared" si="85"/>
        <v/>
      </c>
      <c r="BJ59" s="130" t="str">
        <f t="shared" si="85"/>
        <v/>
      </c>
      <c r="BK59" s="130" t="str">
        <f t="shared" si="85"/>
        <v/>
      </c>
      <c r="BL59" s="130" t="str">
        <f t="shared" si="85"/>
        <v/>
      </c>
      <c r="BM59" s="130" t="str">
        <f t="shared" si="85"/>
        <v/>
      </c>
      <c r="BN59" s="130" t="str">
        <f t="shared" si="85"/>
        <v/>
      </c>
      <c r="BO59" s="130" t="str">
        <f t="shared" si="85"/>
        <v/>
      </c>
      <c r="BP59" s="130" t="str">
        <f t="shared" si="85"/>
        <v/>
      </c>
      <c r="BQ59" s="131" t="str">
        <f t="shared" si="85"/>
        <v/>
      </c>
      <c r="BR59" s="132" t="s">
        <v>0</v>
      </c>
    </row>
    <row r="60" spans="1:70" ht="19.5" hidden="1" customHeight="1" outlineLevel="1">
      <c r="A60" s="324"/>
      <c r="B60" s="115">
        <v>9.3000000000000007</v>
      </c>
      <c r="C60" s="116"/>
      <c r="D60" s="117"/>
      <c r="E60" s="118"/>
      <c r="F60" s="118" t="s">
        <v>598</v>
      </c>
      <c r="G60" s="118"/>
      <c r="H60" s="134"/>
      <c r="I60" s="119" t="s">
        <v>45</v>
      </c>
      <c r="J60" s="120" t="s">
        <v>592</v>
      </c>
      <c r="K60" s="121" t="s">
        <v>592</v>
      </c>
      <c r="L60" s="325" t="s">
        <v>586</v>
      </c>
      <c r="M60" s="122"/>
      <c r="N60" s="123"/>
      <c r="O60" s="122">
        <f t="shared" si="64"/>
        <v>0</v>
      </c>
      <c r="P60" s="327"/>
      <c r="Q60" s="327"/>
      <c r="R60" s="123"/>
      <c r="S60" s="122"/>
      <c r="T60" s="124"/>
      <c r="U60" s="133"/>
      <c r="V60" s="123"/>
      <c r="W60" s="122">
        <f t="shared" si="65"/>
        <v>0</v>
      </c>
      <c r="X60" s="327"/>
      <c r="Y60" s="327"/>
      <c r="Z60" s="125"/>
      <c r="AA60" s="126"/>
      <c r="AB60" s="125"/>
      <c r="AC60" s="127"/>
      <c r="AD60" s="126"/>
      <c r="AE60" s="126"/>
      <c r="AF60" s="128"/>
      <c r="AG60" s="128" t="s">
        <v>584</v>
      </c>
      <c r="AH60" s="129"/>
      <c r="AI60" s="326" t="str">
        <f t="shared" ref="AI60:BQ60" si="86">IFERROR(IF(AND($T60&gt;=(EOMONTH(AI$8,-1)+1),$U60&lt;AJ$8,$I60="M"),"u",""),"")</f>
        <v/>
      </c>
      <c r="AJ60" s="130" t="str">
        <f t="shared" si="86"/>
        <v/>
      </c>
      <c r="AK60" s="130" t="str">
        <f t="shared" si="86"/>
        <v/>
      </c>
      <c r="AL60" s="130" t="str">
        <f t="shared" si="86"/>
        <v/>
      </c>
      <c r="AM60" s="130" t="str">
        <f t="shared" si="86"/>
        <v/>
      </c>
      <c r="AN60" s="130" t="str">
        <f t="shared" si="86"/>
        <v/>
      </c>
      <c r="AO60" s="130" t="str">
        <f t="shared" si="86"/>
        <v/>
      </c>
      <c r="AP60" s="130" t="str">
        <f t="shared" si="86"/>
        <v/>
      </c>
      <c r="AQ60" s="130" t="str">
        <f t="shared" si="86"/>
        <v/>
      </c>
      <c r="AR60" s="130" t="str">
        <f t="shared" si="86"/>
        <v/>
      </c>
      <c r="AS60" s="130" t="str">
        <f t="shared" si="86"/>
        <v/>
      </c>
      <c r="AT60" s="130" t="str">
        <f t="shared" si="86"/>
        <v/>
      </c>
      <c r="AU60" s="130" t="str">
        <f t="shared" si="86"/>
        <v/>
      </c>
      <c r="AV60" s="130" t="str">
        <f t="shared" si="86"/>
        <v/>
      </c>
      <c r="AW60" s="130" t="str">
        <f t="shared" si="86"/>
        <v/>
      </c>
      <c r="AX60" s="130" t="str">
        <f t="shared" si="86"/>
        <v/>
      </c>
      <c r="AY60" s="130" t="str">
        <f t="shared" si="86"/>
        <v/>
      </c>
      <c r="AZ60" s="130" t="str">
        <f t="shared" si="86"/>
        <v/>
      </c>
      <c r="BA60" s="130" t="str">
        <f t="shared" si="86"/>
        <v/>
      </c>
      <c r="BB60" s="130" t="str">
        <f t="shared" si="86"/>
        <v/>
      </c>
      <c r="BC60" s="130" t="str">
        <f t="shared" si="86"/>
        <v/>
      </c>
      <c r="BD60" s="130" t="str">
        <f t="shared" si="86"/>
        <v/>
      </c>
      <c r="BE60" s="130" t="str">
        <f t="shared" si="86"/>
        <v/>
      </c>
      <c r="BF60" s="130" t="str">
        <f t="shared" si="86"/>
        <v/>
      </c>
      <c r="BG60" s="130" t="str">
        <f t="shared" si="86"/>
        <v/>
      </c>
      <c r="BH60" s="130" t="str">
        <f t="shared" si="86"/>
        <v/>
      </c>
      <c r="BI60" s="130" t="str">
        <f t="shared" si="86"/>
        <v/>
      </c>
      <c r="BJ60" s="130" t="str">
        <f t="shared" si="86"/>
        <v/>
      </c>
      <c r="BK60" s="130" t="str">
        <f t="shared" si="86"/>
        <v/>
      </c>
      <c r="BL60" s="130" t="str">
        <f t="shared" si="86"/>
        <v/>
      </c>
      <c r="BM60" s="130" t="str">
        <f t="shared" si="86"/>
        <v/>
      </c>
      <c r="BN60" s="130" t="str">
        <f t="shared" si="86"/>
        <v/>
      </c>
      <c r="BO60" s="130" t="str">
        <f t="shared" si="86"/>
        <v/>
      </c>
      <c r="BP60" s="130" t="str">
        <f t="shared" si="86"/>
        <v/>
      </c>
      <c r="BQ60" s="131" t="str">
        <f t="shared" si="86"/>
        <v/>
      </c>
      <c r="BR60" s="132" t="s">
        <v>0</v>
      </c>
    </row>
    <row r="61" spans="1:70" ht="19.5" hidden="1" customHeight="1" outlineLevel="1">
      <c r="A61" s="324"/>
      <c r="B61" s="115">
        <v>9.4</v>
      </c>
      <c r="C61" s="116"/>
      <c r="D61" s="117"/>
      <c r="E61" s="118"/>
      <c r="F61" s="118" t="s">
        <v>599</v>
      </c>
      <c r="G61" s="118"/>
      <c r="H61" s="118"/>
      <c r="I61" s="119"/>
      <c r="J61" s="120" t="s">
        <v>600</v>
      </c>
      <c r="K61" s="121"/>
      <c r="L61" s="325" t="s">
        <v>586</v>
      </c>
      <c r="M61" s="122"/>
      <c r="N61" s="123"/>
      <c r="O61" s="122">
        <f t="shared" si="64"/>
        <v>0</v>
      </c>
      <c r="P61" s="327"/>
      <c r="Q61" s="327"/>
      <c r="R61" s="123"/>
      <c r="S61" s="122"/>
      <c r="T61" s="124"/>
      <c r="U61" s="133"/>
      <c r="V61" s="123"/>
      <c r="W61" s="122">
        <f t="shared" si="65"/>
        <v>0</v>
      </c>
      <c r="X61" s="327"/>
      <c r="Y61" s="327"/>
      <c r="Z61" s="125"/>
      <c r="AA61" s="126"/>
      <c r="AB61" s="125"/>
      <c r="AC61" s="127"/>
      <c r="AD61" s="126" t="s">
        <v>590</v>
      </c>
      <c r="AE61" s="126"/>
      <c r="AF61" s="128"/>
      <c r="AG61" s="128" t="s">
        <v>584</v>
      </c>
      <c r="AH61" s="129"/>
      <c r="AI61" s="326" t="str">
        <f t="shared" ref="AI61:BQ61" si="87">IFERROR(IF(AND($T61&gt;=(EOMONTH(AI$8,-1)+1),$U61&lt;AJ$8,$I61="M"),"u",""),"")</f>
        <v/>
      </c>
      <c r="AJ61" s="130" t="str">
        <f t="shared" si="87"/>
        <v/>
      </c>
      <c r="AK61" s="130" t="str">
        <f t="shared" si="87"/>
        <v/>
      </c>
      <c r="AL61" s="130" t="str">
        <f t="shared" si="87"/>
        <v/>
      </c>
      <c r="AM61" s="130" t="str">
        <f t="shared" si="87"/>
        <v/>
      </c>
      <c r="AN61" s="130" t="str">
        <f t="shared" si="87"/>
        <v/>
      </c>
      <c r="AO61" s="130" t="str">
        <f t="shared" si="87"/>
        <v/>
      </c>
      <c r="AP61" s="130" t="str">
        <f t="shared" si="87"/>
        <v/>
      </c>
      <c r="AQ61" s="130" t="str">
        <f t="shared" si="87"/>
        <v/>
      </c>
      <c r="AR61" s="130" t="str">
        <f t="shared" si="87"/>
        <v/>
      </c>
      <c r="AS61" s="130" t="str">
        <f t="shared" si="87"/>
        <v/>
      </c>
      <c r="AT61" s="130" t="str">
        <f t="shared" si="87"/>
        <v/>
      </c>
      <c r="AU61" s="130" t="str">
        <f t="shared" si="87"/>
        <v/>
      </c>
      <c r="AV61" s="130" t="str">
        <f t="shared" si="87"/>
        <v/>
      </c>
      <c r="AW61" s="130" t="str">
        <f t="shared" si="87"/>
        <v/>
      </c>
      <c r="AX61" s="130" t="str">
        <f t="shared" si="87"/>
        <v/>
      </c>
      <c r="AY61" s="130" t="str">
        <f t="shared" si="87"/>
        <v/>
      </c>
      <c r="AZ61" s="130" t="str">
        <f t="shared" si="87"/>
        <v/>
      </c>
      <c r="BA61" s="130" t="str">
        <f t="shared" si="87"/>
        <v/>
      </c>
      <c r="BB61" s="130" t="str">
        <f t="shared" si="87"/>
        <v/>
      </c>
      <c r="BC61" s="130" t="str">
        <f t="shared" si="87"/>
        <v/>
      </c>
      <c r="BD61" s="130" t="str">
        <f t="shared" si="87"/>
        <v/>
      </c>
      <c r="BE61" s="130" t="str">
        <f t="shared" si="87"/>
        <v/>
      </c>
      <c r="BF61" s="130" t="str">
        <f t="shared" si="87"/>
        <v/>
      </c>
      <c r="BG61" s="130" t="str">
        <f t="shared" si="87"/>
        <v/>
      </c>
      <c r="BH61" s="130" t="str">
        <f t="shared" si="87"/>
        <v/>
      </c>
      <c r="BI61" s="130" t="str">
        <f t="shared" si="87"/>
        <v/>
      </c>
      <c r="BJ61" s="130" t="str">
        <f t="shared" si="87"/>
        <v/>
      </c>
      <c r="BK61" s="130" t="str">
        <f t="shared" si="87"/>
        <v/>
      </c>
      <c r="BL61" s="130" t="str">
        <f t="shared" si="87"/>
        <v/>
      </c>
      <c r="BM61" s="130" t="str">
        <f t="shared" si="87"/>
        <v/>
      </c>
      <c r="BN61" s="130" t="str">
        <f t="shared" si="87"/>
        <v/>
      </c>
      <c r="BO61" s="130" t="str">
        <f t="shared" si="87"/>
        <v/>
      </c>
      <c r="BP61" s="130" t="str">
        <f t="shared" si="87"/>
        <v/>
      </c>
      <c r="BQ61" s="131" t="str">
        <f t="shared" si="87"/>
        <v/>
      </c>
      <c r="BR61" s="132" t="s">
        <v>0</v>
      </c>
    </row>
    <row r="62" spans="1:70" ht="19.5" customHeight="1">
      <c r="A62" s="307">
        <v>2.8</v>
      </c>
      <c r="B62" s="135"/>
      <c r="C62" s="136"/>
      <c r="D62" s="137"/>
      <c r="E62" s="91" t="s">
        <v>601</v>
      </c>
      <c r="F62" s="91"/>
      <c r="G62" s="91"/>
      <c r="H62" s="91"/>
      <c r="I62" s="38"/>
      <c r="J62" s="86"/>
      <c r="K62" s="87"/>
      <c r="L62" s="249" t="s">
        <v>578</v>
      </c>
      <c r="M62" s="32"/>
      <c r="N62" s="22"/>
      <c r="O62" s="32">
        <f t="shared" si="64"/>
        <v>34</v>
      </c>
      <c r="P62" s="31">
        <f>MIN(P63:P65)</f>
        <v>45474</v>
      </c>
      <c r="Q62" s="31">
        <f>MAX(Q63:Q65)</f>
        <v>45519</v>
      </c>
      <c r="R62" s="22"/>
      <c r="S62" s="32">
        <f>IF(T62=0,"",U62-T62)</f>
        <v>0</v>
      </c>
      <c r="T62" s="31">
        <f>MIN(T63:T65)</f>
        <v>45474</v>
      </c>
      <c r="U62" s="31">
        <f>MAX(U63:U65)</f>
        <v>45474</v>
      </c>
      <c r="V62" s="22"/>
      <c r="W62" s="32">
        <f t="shared" si="65"/>
        <v>1</v>
      </c>
      <c r="X62" s="31">
        <f>MIN(X63:X65)</f>
        <v>45534</v>
      </c>
      <c r="Y62" s="31">
        <f>MAX(Y63:Y65)</f>
        <v>45534</v>
      </c>
      <c r="Z62" s="24"/>
      <c r="AA62" s="40"/>
      <c r="AB62" s="24"/>
      <c r="AC62" s="46"/>
      <c r="AD62" s="40"/>
      <c r="AE62" s="40"/>
      <c r="AF62" s="41"/>
      <c r="AG62" s="41"/>
      <c r="AH62" s="28"/>
      <c r="AI62" s="291" t="str">
        <f t="shared" ref="AI62:BQ62" si="88">IFERROR(IF(AND($T62&gt;=(EOMONTH(AI$8,-1)+1),$U62&lt;AJ$8,$I62="M"),"u",""),"")</f>
        <v/>
      </c>
      <c r="AJ62" s="81" t="str">
        <f t="shared" si="88"/>
        <v/>
      </c>
      <c r="AK62" s="81" t="str">
        <f t="shared" si="88"/>
        <v/>
      </c>
      <c r="AL62" s="81" t="str">
        <f t="shared" si="88"/>
        <v/>
      </c>
      <c r="AM62" s="81" t="str">
        <f t="shared" si="88"/>
        <v/>
      </c>
      <c r="AN62" s="81" t="str">
        <f t="shared" si="88"/>
        <v/>
      </c>
      <c r="AO62" s="81" t="str">
        <f t="shared" si="88"/>
        <v/>
      </c>
      <c r="AP62" s="81" t="str">
        <f t="shared" si="88"/>
        <v/>
      </c>
      <c r="AQ62" s="81" t="str">
        <f t="shared" si="88"/>
        <v/>
      </c>
      <c r="AR62" s="81" t="str">
        <f t="shared" si="88"/>
        <v/>
      </c>
      <c r="AS62" s="81" t="str">
        <f t="shared" si="88"/>
        <v/>
      </c>
      <c r="AT62" s="81" t="str">
        <f t="shared" si="88"/>
        <v/>
      </c>
      <c r="AU62" s="81" t="str">
        <f t="shared" si="88"/>
        <v/>
      </c>
      <c r="AV62" s="81" t="str">
        <f t="shared" si="88"/>
        <v/>
      </c>
      <c r="AW62" s="81" t="str">
        <f t="shared" si="88"/>
        <v/>
      </c>
      <c r="AX62" s="81" t="str">
        <f t="shared" si="88"/>
        <v/>
      </c>
      <c r="AY62" s="81" t="str">
        <f t="shared" si="88"/>
        <v/>
      </c>
      <c r="AZ62" s="81" t="str">
        <f t="shared" si="88"/>
        <v/>
      </c>
      <c r="BA62" s="81" t="str">
        <f t="shared" si="88"/>
        <v/>
      </c>
      <c r="BB62" s="81" t="str">
        <f t="shared" si="88"/>
        <v/>
      </c>
      <c r="BC62" s="81" t="str">
        <f t="shared" si="88"/>
        <v/>
      </c>
      <c r="BD62" s="81" t="str">
        <f t="shared" si="88"/>
        <v/>
      </c>
      <c r="BE62" s="81" t="str">
        <f t="shared" si="88"/>
        <v/>
      </c>
      <c r="BF62" s="81" t="str">
        <f t="shared" si="88"/>
        <v/>
      </c>
      <c r="BG62" s="81" t="str">
        <f t="shared" si="88"/>
        <v/>
      </c>
      <c r="BH62" s="81" t="str">
        <f t="shared" si="88"/>
        <v/>
      </c>
      <c r="BI62" s="81" t="str">
        <f t="shared" si="88"/>
        <v/>
      </c>
      <c r="BJ62" s="81" t="str">
        <f t="shared" si="88"/>
        <v/>
      </c>
      <c r="BK62" s="81" t="str">
        <f t="shared" si="88"/>
        <v/>
      </c>
      <c r="BL62" s="81" t="str">
        <f t="shared" si="88"/>
        <v/>
      </c>
      <c r="BM62" s="81" t="str">
        <f t="shared" si="88"/>
        <v/>
      </c>
      <c r="BN62" s="81" t="str">
        <f t="shared" si="88"/>
        <v/>
      </c>
      <c r="BO62" s="81" t="str">
        <f t="shared" si="88"/>
        <v/>
      </c>
      <c r="BP62" s="81" t="str">
        <f t="shared" si="88"/>
        <v/>
      </c>
      <c r="BQ62" s="82" t="str">
        <f t="shared" si="88"/>
        <v/>
      </c>
      <c r="BR62" s="11" t="s">
        <v>0</v>
      </c>
    </row>
    <row r="63" spans="1:70" ht="19.5" customHeight="1" outlineLevel="1">
      <c r="A63" s="307"/>
      <c r="B63" s="135" t="s">
        <v>602</v>
      </c>
      <c r="C63" s="84"/>
      <c r="D63" s="137"/>
      <c r="E63" s="91"/>
      <c r="F63" s="35" t="s">
        <v>603</v>
      </c>
      <c r="G63" s="35"/>
      <c r="H63" s="91"/>
      <c r="I63" s="38"/>
      <c r="J63" s="86" t="s">
        <v>604</v>
      </c>
      <c r="K63" s="87" t="s">
        <v>605</v>
      </c>
      <c r="L63" s="249" t="s">
        <v>578</v>
      </c>
      <c r="M63" s="32" t="s">
        <v>578</v>
      </c>
      <c r="N63" s="22"/>
      <c r="O63" s="32">
        <f t="shared" si="64"/>
        <v>34</v>
      </c>
      <c r="P63" s="53">
        <v>45474</v>
      </c>
      <c r="Q63" s="53">
        <v>45519</v>
      </c>
      <c r="R63" s="22"/>
      <c r="S63" s="32"/>
      <c r="T63" s="31">
        <f>T50</f>
        <v>45474</v>
      </c>
      <c r="U63" s="138">
        <f>T63+S63</f>
        <v>45474</v>
      </c>
      <c r="V63" s="22"/>
      <c r="W63" s="32">
        <f t="shared" si="65"/>
        <v>1</v>
      </c>
      <c r="X63" s="53">
        <v>45534</v>
      </c>
      <c r="Y63" s="53">
        <v>45534</v>
      </c>
      <c r="Z63" s="24"/>
      <c r="AA63" s="40"/>
      <c r="AB63" s="24"/>
      <c r="AC63" s="46"/>
      <c r="AD63" s="40"/>
      <c r="AE63" s="40"/>
      <c r="AF63" s="41"/>
      <c r="AG63" s="41"/>
      <c r="AH63" s="28"/>
      <c r="AI63" s="291" t="str">
        <f t="shared" ref="AI63:BQ63" si="89">IFERROR(IF(AND($T63&gt;=(EOMONTH(AI$8,-1)+1),$U63&lt;AJ$8,$I63="M"),"u",""),"")</f>
        <v/>
      </c>
      <c r="AJ63" s="81" t="str">
        <f t="shared" si="89"/>
        <v/>
      </c>
      <c r="AK63" s="81" t="str">
        <f t="shared" si="89"/>
        <v/>
      </c>
      <c r="AL63" s="81" t="str">
        <f t="shared" si="89"/>
        <v/>
      </c>
      <c r="AM63" s="81" t="str">
        <f t="shared" si="89"/>
        <v/>
      </c>
      <c r="AN63" s="81" t="str">
        <f t="shared" si="89"/>
        <v/>
      </c>
      <c r="AO63" s="81" t="str">
        <f t="shared" si="89"/>
        <v/>
      </c>
      <c r="AP63" s="81" t="str">
        <f t="shared" si="89"/>
        <v/>
      </c>
      <c r="AQ63" s="81" t="str">
        <f t="shared" si="89"/>
        <v/>
      </c>
      <c r="AR63" s="81" t="str">
        <f t="shared" si="89"/>
        <v/>
      </c>
      <c r="AS63" s="81" t="str">
        <f t="shared" si="89"/>
        <v/>
      </c>
      <c r="AT63" s="81" t="str">
        <f t="shared" si="89"/>
        <v/>
      </c>
      <c r="AU63" s="81" t="str">
        <f t="shared" si="89"/>
        <v/>
      </c>
      <c r="AV63" s="81" t="str">
        <f t="shared" si="89"/>
        <v/>
      </c>
      <c r="AW63" s="81" t="str">
        <f t="shared" si="89"/>
        <v/>
      </c>
      <c r="AX63" s="81" t="str">
        <f t="shared" si="89"/>
        <v/>
      </c>
      <c r="AY63" s="81" t="str">
        <f t="shared" si="89"/>
        <v/>
      </c>
      <c r="AZ63" s="81" t="str">
        <f t="shared" si="89"/>
        <v/>
      </c>
      <c r="BA63" s="81" t="str">
        <f t="shared" si="89"/>
        <v/>
      </c>
      <c r="BB63" s="81" t="str">
        <f t="shared" si="89"/>
        <v/>
      </c>
      <c r="BC63" s="81" t="str">
        <f t="shared" si="89"/>
        <v/>
      </c>
      <c r="BD63" s="81" t="str">
        <f t="shared" si="89"/>
        <v/>
      </c>
      <c r="BE63" s="81" t="str">
        <f t="shared" si="89"/>
        <v/>
      </c>
      <c r="BF63" s="81" t="str">
        <f t="shared" si="89"/>
        <v/>
      </c>
      <c r="BG63" s="81" t="str">
        <f t="shared" si="89"/>
        <v/>
      </c>
      <c r="BH63" s="81" t="str">
        <f t="shared" si="89"/>
        <v/>
      </c>
      <c r="BI63" s="81" t="str">
        <f t="shared" si="89"/>
        <v/>
      </c>
      <c r="BJ63" s="81" t="str">
        <f t="shared" si="89"/>
        <v/>
      </c>
      <c r="BK63" s="81" t="str">
        <f t="shared" si="89"/>
        <v/>
      </c>
      <c r="BL63" s="81" t="str">
        <f t="shared" si="89"/>
        <v/>
      </c>
      <c r="BM63" s="81" t="str">
        <f t="shared" si="89"/>
        <v/>
      </c>
      <c r="BN63" s="81" t="str">
        <f t="shared" si="89"/>
        <v/>
      </c>
      <c r="BO63" s="81" t="str">
        <f t="shared" si="89"/>
        <v/>
      </c>
      <c r="BP63" s="81" t="str">
        <f t="shared" si="89"/>
        <v/>
      </c>
      <c r="BQ63" s="82" t="str">
        <f t="shared" si="89"/>
        <v/>
      </c>
      <c r="BR63" s="11" t="s">
        <v>0</v>
      </c>
    </row>
    <row r="64" spans="1:70" ht="19.5" customHeight="1" outlineLevel="1">
      <c r="A64" s="307"/>
      <c r="B64" s="135" t="s">
        <v>606</v>
      </c>
      <c r="C64" s="84"/>
      <c r="D64" s="137"/>
      <c r="E64" s="91"/>
      <c r="F64" s="35" t="s">
        <v>607</v>
      </c>
      <c r="G64" s="35"/>
      <c r="H64" s="91"/>
      <c r="I64" s="38"/>
      <c r="J64" s="139" t="s">
        <v>608</v>
      </c>
      <c r="K64" s="87" t="s">
        <v>609</v>
      </c>
      <c r="L64" s="249" t="s">
        <v>578</v>
      </c>
      <c r="M64" s="32"/>
      <c r="N64" s="22"/>
      <c r="O64" s="32">
        <f t="shared" si="64"/>
        <v>24</v>
      </c>
      <c r="P64" s="53">
        <v>45488</v>
      </c>
      <c r="Q64" s="53">
        <v>45519</v>
      </c>
      <c r="R64" s="22"/>
      <c r="S64" s="32"/>
      <c r="T64" s="31"/>
      <c r="U64" s="138"/>
      <c r="V64" s="22"/>
      <c r="W64" s="32">
        <f t="shared" si="65"/>
        <v>0</v>
      </c>
      <c r="X64" s="53"/>
      <c r="Y64" s="53"/>
      <c r="Z64" s="24"/>
      <c r="AA64" s="40"/>
      <c r="AB64" s="24"/>
      <c r="AC64" s="46"/>
      <c r="AD64" s="40"/>
      <c r="AE64" s="40"/>
      <c r="AF64" s="41"/>
      <c r="AG64" s="41" t="s">
        <v>584</v>
      </c>
      <c r="AH64" s="28"/>
      <c r="AI64" s="291" t="str">
        <f t="shared" ref="AI64:BQ64" si="90">IFERROR(IF(AND($T64&gt;=(EOMONTH(AI$8,-1)+1),$U64&lt;AJ$8,$I64="M"),"u",""),"")</f>
        <v/>
      </c>
      <c r="AJ64" s="81" t="str">
        <f t="shared" si="90"/>
        <v/>
      </c>
      <c r="AK64" s="81" t="str">
        <f t="shared" si="90"/>
        <v/>
      </c>
      <c r="AL64" s="81" t="str">
        <f t="shared" si="90"/>
        <v/>
      </c>
      <c r="AM64" s="81" t="str">
        <f t="shared" si="90"/>
        <v/>
      </c>
      <c r="AN64" s="81" t="str">
        <f t="shared" si="90"/>
        <v/>
      </c>
      <c r="AO64" s="81" t="str">
        <f t="shared" si="90"/>
        <v/>
      </c>
      <c r="AP64" s="81" t="str">
        <f t="shared" si="90"/>
        <v/>
      </c>
      <c r="AQ64" s="81" t="str">
        <f t="shared" si="90"/>
        <v/>
      </c>
      <c r="AR64" s="81" t="str">
        <f t="shared" si="90"/>
        <v/>
      </c>
      <c r="AS64" s="81" t="str">
        <f t="shared" si="90"/>
        <v/>
      </c>
      <c r="AT64" s="81" t="str">
        <f t="shared" si="90"/>
        <v/>
      </c>
      <c r="AU64" s="81" t="str">
        <f t="shared" si="90"/>
        <v/>
      </c>
      <c r="AV64" s="81" t="str">
        <f t="shared" si="90"/>
        <v/>
      </c>
      <c r="AW64" s="81" t="str">
        <f t="shared" si="90"/>
        <v/>
      </c>
      <c r="AX64" s="81" t="str">
        <f t="shared" si="90"/>
        <v/>
      </c>
      <c r="AY64" s="81" t="str">
        <f t="shared" si="90"/>
        <v/>
      </c>
      <c r="AZ64" s="81" t="str">
        <f t="shared" si="90"/>
        <v/>
      </c>
      <c r="BA64" s="81" t="str">
        <f t="shared" si="90"/>
        <v/>
      </c>
      <c r="BB64" s="81" t="str">
        <f t="shared" si="90"/>
        <v/>
      </c>
      <c r="BC64" s="81" t="str">
        <f t="shared" si="90"/>
        <v/>
      </c>
      <c r="BD64" s="81" t="str">
        <f t="shared" si="90"/>
        <v/>
      </c>
      <c r="BE64" s="81" t="str">
        <f t="shared" si="90"/>
        <v/>
      </c>
      <c r="BF64" s="81" t="str">
        <f t="shared" si="90"/>
        <v/>
      </c>
      <c r="BG64" s="81" t="str">
        <f t="shared" si="90"/>
        <v/>
      </c>
      <c r="BH64" s="81" t="str">
        <f t="shared" si="90"/>
        <v/>
      </c>
      <c r="BI64" s="81" t="str">
        <f t="shared" si="90"/>
        <v/>
      </c>
      <c r="BJ64" s="81" t="str">
        <f t="shared" si="90"/>
        <v/>
      </c>
      <c r="BK64" s="81" t="str">
        <f t="shared" si="90"/>
        <v/>
      </c>
      <c r="BL64" s="81" t="str">
        <f t="shared" si="90"/>
        <v/>
      </c>
      <c r="BM64" s="81" t="str">
        <f t="shared" si="90"/>
        <v/>
      </c>
      <c r="BN64" s="81" t="str">
        <f t="shared" si="90"/>
        <v/>
      </c>
      <c r="BO64" s="81" t="str">
        <f t="shared" si="90"/>
        <v/>
      </c>
      <c r="BP64" s="81" t="str">
        <f t="shared" si="90"/>
        <v/>
      </c>
      <c r="BQ64" s="82" t="str">
        <f t="shared" si="90"/>
        <v/>
      </c>
      <c r="BR64" s="11" t="s">
        <v>0</v>
      </c>
    </row>
    <row r="65" spans="1:70" ht="19.5" customHeight="1" outlineLevel="1">
      <c r="A65" s="307"/>
      <c r="B65" s="135" t="s">
        <v>610</v>
      </c>
      <c r="C65" s="84"/>
      <c r="D65" s="137"/>
      <c r="E65" s="91"/>
      <c r="F65" s="35" t="s">
        <v>611</v>
      </c>
      <c r="G65" s="35"/>
      <c r="H65" s="91"/>
      <c r="I65" s="38"/>
      <c r="J65" s="139" t="s">
        <v>612</v>
      </c>
      <c r="K65" s="87" t="s">
        <v>611</v>
      </c>
      <c r="L65" s="249" t="s">
        <v>578</v>
      </c>
      <c r="M65" s="32"/>
      <c r="N65" s="22"/>
      <c r="O65" s="32">
        <f t="shared" si="64"/>
        <v>0</v>
      </c>
      <c r="P65" s="53"/>
      <c r="Q65" s="53"/>
      <c r="R65" s="22"/>
      <c r="S65" s="32"/>
      <c r="T65" s="31"/>
      <c r="U65" s="138"/>
      <c r="V65" s="22"/>
      <c r="W65" s="32">
        <f t="shared" si="65"/>
        <v>0</v>
      </c>
      <c r="X65" s="53"/>
      <c r="Y65" s="53"/>
      <c r="Z65" s="24"/>
      <c r="AA65" s="40"/>
      <c r="AB65" s="24"/>
      <c r="AC65" s="46"/>
      <c r="AD65" s="40"/>
      <c r="AE65" s="40"/>
      <c r="AF65" s="41"/>
      <c r="AG65" s="41" t="s">
        <v>584</v>
      </c>
      <c r="AH65" s="28"/>
      <c r="AI65" s="291" t="str">
        <f t="shared" ref="AI65:BQ65" si="91">IFERROR(IF(AND($T65&gt;=(EOMONTH(AI$8,-1)+1),$U65&lt;AJ$8,$I65="M"),"u",""),"")</f>
        <v/>
      </c>
      <c r="AJ65" s="81" t="str">
        <f t="shared" si="91"/>
        <v/>
      </c>
      <c r="AK65" s="81" t="str">
        <f t="shared" si="91"/>
        <v/>
      </c>
      <c r="AL65" s="81" t="str">
        <f t="shared" si="91"/>
        <v/>
      </c>
      <c r="AM65" s="81" t="str">
        <f t="shared" si="91"/>
        <v/>
      </c>
      <c r="AN65" s="81" t="str">
        <f t="shared" si="91"/>
        <v/>
      </c>
      <c r="AO65" s="81" t="str">
        <f t="shared" si="91"/>
        <v/>
      </c>
      <c r="AP65" s="81" t="str">
        <f t="shared" si="91"/>
        <v/>
      </c>
      <c r="AQ65" s="81" t="str">
        <f t="shared" si="91"/>
        <v/>
      </c>
      <c r="AR65" s="81" t="str">
        <f t="shared" si="91"/>
        <v/>
      </c>
      <c r="AS65" s="81" t="str">
        <f t="shared" si="91"/>
        <v/>
      </c>
      <c r="AT65" s="81" t="str">
        <f t="shared" si="91"/>
        <v/>
      </c>
      <c r="AU65" s="81" t="str">
        <f t="shared" si="91"/>
        <v/>
      </c>
      <c r="AV65" s="81" t="str">
        <f t="shared" si="91"/>
        <v/>
      </c>
      <c r="AW65" s="81" t="str">
        <f t="shared" si="91"/>
        <v/>
      </c>
      <c r="AX65" s="81" t="str">
        <f t="shared" si="91"/>
        <v/>
      </c>
      <c r="AY65" s="81" t="str">
        <f t="shared" si="91"/>
        <v/>
      </c>
      <c r="AZ65" s="81" t="str">
        <f t="shared" si="91"/>
        <v/>
      </c>
      <c r="BA65" s="81" t="str">
        <f t="shared" si="91"/>
        <v/>
      </c>
      <c r="BB65" s="81" t="str">
        <f t="shared" si="91"/>
        <v/>
      </c>
      <c r="BC65" s="81" t="str">
        <f t="shared" si="91"/>
        <v/>
      </c>
      <c r="BD65" s="81" t="str">
        <f t="shared" si="91"/>
        <v/>
      </c>
      <c r="BE65" s="81" t="str">
        <f t="shared" si="91"/>
        <v/>
      </c>
      <c r="BF65" s="81" t="str">
        <f t="shared" si="91"/>
        <v/>
      </c>
      <c r="BG65" s="81" t="str">
        <f t="shared" si="91"/>
        <v/>
      </c>
      <c r="BH65" s="81" t="str">
        <f t="shared" si="91"/>
        <v/>
      </c>
      <c r="BI65" s="81" t="str">
        <f t="shared" si="91"/>
        <v/>
      </c>
      <c r="BJ65" s="81" t="str">
        <f t="shared" si="91"/>
        <v/>
      </c>
      <c r="BK65" s="81" t="str">
        <f t="shared" si="91"/>
        <v/>
      </c>
      <c r="BL65" s="81" t="str">
        <f t="shared" si="91"/>
        <v/>
      </c>
      <c r="BM65" s="81" t="str">
        <f t="shared" si="91"/>
        <v/>
      </c>
      <c r="BN65" s="81" t="str">
        <f t="shared" si="91"/>
        <v/>
      </c>
      <c r="BO65" s="81" t="str">
        <f t="shared" si="91"/>
        <v/>
      </c>
      <c r="BP65" s="81" t="str">
        <f t="shared" si="91"/>
        <v/>
      </c>
      <c r="BQ65" s="82" t="str">
        <f t="shared" si="91"/>
        <v/>
      </c>
      <c r="BR65" s="11" t="s">
        <v>0</v>
      </c>
    </row>
    <row r="66" spans="1:70" ht="19.5" customHeight="1">
      <c r="A66" s="307">
        <v>2.9</v>
      </c>
      <c r="B66" s="83"/>
      <c r="C66" s="84"/>
      <c r="D66" s="85"/>
      <c r="E66" s="35" t="s">
        <v>613</v>
      </c>
      <c r="F66" s="35"/>
      <c r="G66" s="35"/>
      <c r="H66" s="35"/>
      <c r="I66" s="38"/>
      <c r="J66" s="86" t="s">
        <v>614</v>
      </c>
      <c r="K66" s="87"/>
      <c r="L66" s="249"/>
      <c r="M66" s="32"/>
      <c r="N66" s="22"/>
      <c r="O66" s="32">
        <f t="shared" si="64"/>
        <v>241</v>
      </c>
      <c r="P66" s="31">
        <f>MIN(P67:P70)</f>
        <v>45413</v>
      </c>
      <c r="Q66" s="31">
        <f>MAX(Q67:Q70)</f>
        <v>45749</v>
      </c>
      <c r="R66" s="22"/>
      <c r="S66" s="32">
        <f>IF(T66=0,"",U66-T66)</f>
        <v>699</v>
      </c>
      <c r="T66" s="31">
        <f>MIN(T67:T70)</f>
        <v>45035</v>
      </c>
      <c r="U66" s="31">
        <f>MAX(U67:U70)</f>
        <v>45734</v>
      </c>
      <c r="V66" s="22"/>
      <c r="W66" s="32">
        <f t="shared" si="65"/>
        <v>241</v>
      </c>
      <c r="X66" s="31">
        <f>MIN(X67:X70)</f>
        <v>45413</v>
      </c>
      <c r="Y66" s="31">
        <f>MAX(Y67:Y70)</f>
        <v>45749</v>
      </c>
      <c r="Z66" s="24"/>
      <c r="AA66" s="40"/>
      <c r="AB66" s="24"/>
      <c r="AC66" s="46">
        <v>1</v>
      </c>
      <c r="AD66" s="40" t="s">
        <v>549</v>
      </c>
      <c r="AE66" s="40"/>
      <c r="AF66" s="41"/>
      <c r="AG66" s="41"/>
      <c r="AH66" s="28"/>
      <c r="AI66" s="291" t="str">
        <f t="shared" ref="AI66:BQ66" si="92">IFERROR(IF(AND($T66&gt;=(EOMONTH(AI$8,-1)+1),$U66&lt;AJ$8,$I66="M"),"u",""),"")</f>
        <v/>
      </c>
      <c r="AJ66" s="81" t="str">
        <f t="shared" si="92"/>
        <v/>
      </c>
      <c r="AK66" s="81" t="str">
        <f t="shared" si="92"/>
        <v/>
      </c>
      <c r="AL66" s="81" t="str">
        <f t="shared" si="92"/>
        <v/>
      </c>
      <c r="AM66" s="81" t="str">
        <f t="shared" si="92"/>
        <v/>
      </c>
      <c r="AN66" s="81" t="str">
        <f t="shared" si="92"/>
        <v/>
      </c>
      <c r="AO66" s="81" t="str">
        <f t="shared" si="92"/>
        <v/>
      </c>
      <c r="AP66" s="81" t="str">
        <f t="shared" si="92"/>
        <v/>
      </c>
      <c r="AQ66" s="81" t="str">
        <f t="shared" si="92"/>
        <v/>
      </c>
      <c r="AR66" s="81" t="str">
        <f t="shared" si="92"/>
        <v/>
      </c>
      <c r="AS66" s="81" t="str">
        <f t="shared" si="92"/>
        <v/>
      </c>
      <c r="AT66" s="81" t="str">
        <f t="shared" si="92"/>
        <v/>
      </c>
      <c r="AU66" s="81" t="str">
        <f t="shared" si="92"/>
        <v/>
      </c>
      <c r="AV66" s="81" t="str">
        <f t="shared" si="92"/>
        <v/>
      </c>
      <c r="AW66" s="81" t="str">
        <f t="shared" si="92"/>
        <v/>
      </c>
      <c r="AX66" s="81" t="str">
        <f t="shared" si="92"/>
        <v/>
      </c>
      <c r="AY66" s="81" t="str">
        <f t="shared" si="92"/>
        <v/>
      </c>
      <c r="AZ66" s="81" t="str">
        <f t="shared" si="92"/>
        <v/>
      </c>
      <c r="BA66" s="81" t="str">
        <f t="shared" si="92"/>
        <v/>
      </c>
      <c r="BB66" s="81" t="str">
        <f t="shared" si="92"/>
        <v/>
      </c>
      <c r="BC66" s="81" t="str">
        <f t="shared" si="92"/>
        <v/>
      </c>
      <c r="BD66" s="81" t="str">
        <f t="shared" si="92"/>
        <v/>
      </c>
      <c r="BE66" s="81" t="str">
        <f t="shared" si="92"/>
        <v/>
      </c>
      <c r="BF66" s="81" t="str">
        <f t="shared" si="92"/>
        <v/>
      </c>
      <c r="BG66" s="81" t="str">
        <f t="shared" si="92"/>
        <v/>
      </c>
      <c r="BH66" s="81" t="str">
        <f t="shared" si="92"/>
        <v/>
      </c>
      <c r="BI66" s="81" t="str">
        <f t="shared" si="92"/>
        <v/>
      </c>
      <c r="BJ66" s="81" t="str">
        <f t="shared" si="92"/>
        <v/>
      </c>
      <c r="BK66" s="81" t="str">
        <f t="shared" si="92"/>
        <v/>
      </c>
      <c r="BL66" s="81" t="str">
        <f t="shared" si="92"/>
        <v/>
      </c>
      <c r="BM66" s="81" t="str">
        <f t="shared" si="92"/>
        <v/>
      </c>
      <c r="BN66" s="81" t="str">
        <f t="shared" si="92"/>
        <v/>
      </c>
      <c r="BO66" s="81" t="str">
        <f t="shared" si="92"/>
        <v/>
      </c>
      <c r="BP66" s="81" t="str">
        <f t="shared" si="92"/>
        <v/>
      </c>
      <c r="BQ66" s="82" t="str">
        <f t="shared" si="92"/>
        <v/>
      </c>
      <c r="BR66" s="11" t="s">
        <v>0</v>
      </c>
    </row>
    <row r="67" spans="1:70" ht="19.5" customHeight="1" outlineLevel="1">
      <c r="A67" s="328"/>
      <c r="B67" s="83" t="s">
        <v>615</v>
      </c>
      <c r="C67" s="84"/>
      <c r="D67" s="329"/>
      <c r="E67" s="330"/>
      <c r="F67" s="330" t="s">
        <v>616</v>
      </c>
      <c r="G67" s="330"/>
      <c r="H67" s="330"/>
      <c r="I67" s="38"/>
      <c r="J67" s="331" t="s">
        <v>617</v>
      </c>
      <c r="K67" s="332" t="s">
        <v>618</v>
      </c>
      <c r="L67" s="333" t="s">
        <v>619</v>
      </c>
      <c r="M67" s="43"/>
      <c r="N67" s="22"/>
      <c r="O67" s="32">
        <f t="shared" si="64"/>
        <v>22</v>
      </c>
      <c r="P67" s="53">
        <v>45413</v>
      </c>
      <c r="Q67" s="53">
        <v>45442</v>
      </c>
      <c r="R67" s="22"/>
      <c r="S67" s="32">
        <v>60</v>
      </c>
      <c r="T67" s="31">
        <f>T35</f>
        <v>45035</v>
      </c>
      <c r="U67" s="31">
        <f t="shared" ref="U67:U70" si="93">IF(S67&lt;&gt;"",WORKDAY(T67,S67-1),"")</f>
        <v>45118</v>
      </c>
      <c r="V67" s="22"/>
      <c r="W67" s="32">
        <f t="shared" si="65"/>
        <v>22</v>
      </c>
      <c r="X67" s="53">
        <v>45413</v>
      </c>
      <c r="Y67" s="53">
        <v>45442</v>
      </c>
      <c r="Z67" s="24"/>
      <c r="AA67" s="40"/>
      <c r="AB67" s="24"/>
      <c r="AC67" s="46">
        <v>1</v>
      </c>
      <c r="AD67" s="40" t="s">
        <v>549</v>
      </c>
      <c r="AE67" s="40"/>
      <c r="AF67" s="41"/>
      <c r="AG67" s="41"/>
      <c r="AH67" s="28"/>
      <c r="AI67" s="291" t="str">
        <f t="shared" ref="AI67:BQ67" si="94">IFERROR(IF(AND($T67&gt;=(EOMONTH(AI$8,-1)+1),$U67&lt;AJ$8,$I67="M"),"u",""),"")</f>
        <v/>
      </c>
      <c r="AJ67" s="81" t="str">
        <f t="shared" si="94"/>
        <v/>
      </c>
      <c r="AK67" s="81" t="str">
        <f t="shared" si="94"/>
        <v/>
      </c>
      <c r="AL67" s="81" t="str">
        <f t="shared" si="94"/>
        <v/>
      </c>
      <c r="AM67" s="81" t="str">
        <f t="shared" si="94"/>
        <v/>
      </c>
      <c r="AN67" s="81" t="str">
        <f t="shared" si="94"/>
        <v/>
      </c>
      <c r="AO67" s="81" t="str">
        <f t="shared" si="94"/>
        <v/>
      </c>
      <c r="AP67" s="81" t="str">
        <f t="shared" si="94"/>
        <v/>
      </c>
      <c r="AQ67" s="81" t="str">
        <f t="shared" si="94"/>
        <v/>
      </c>
      <c r="AR67" s="81" t="str">
        <f t="shared" si="94"/>
        <v/>
      </c>
      <c r="AS67" s="81" t="str">
        <f t="shared" si="94"/>
        <v/>
      </c>
      <c r="AT67" s="81" t="str">
        <f t="shared" si="94"/>
        <v/>
      </c>
      <c r="AU67" s="81" t="str">
        <f t="shared" si="94"/>
        <v/>
      </c>
      <c r="AV67" s="81" t="str">
        <f t="shared" si="94"/>
        <v/>
      </c>
      <c r="AW67" s="81" t="str">
        <f t="shared" si="94"/>
        <v/>
      </c>
      <c r="AX67" s="81" t="str">
        <f t="shared" si="94"/>
        <v/>
      </c>
      <c r="AY67" s="81" t="str">
        <f t="shared" si="94"/>
        <v/>
      </c>
      <c r="AZ67" s="81" t="str">
        <f t="shared" si="94"/>
        <v/>
      </c>
      <c r="BA67" s="81" t="str">
        <f t="shared" si="94"/>
        <v/>
      </c>
      <c r="BB67" s="81" t="str">
        <f t="shared" si="94"/>
        <v/>
      </c>
      <c r="BC67" s="81" t="str">
        <f t="shared" si="94"/>
        <v/>
      </c>
      <c r="BD67" s="81" t="str">
        <f t="shared" si="94"/>
        <v/>
      </c>
      <c r="BE67" s="81" t="str">
        <f t="shared" si="94"/>
        <v/>
      </c>
      <c r="BF67" s="81" t="str">
        <f t="shared" si="94"/>
        <v/>
      </c>
      <c r="BG67" s="81" t="str">
        <f t="shared" si="94"/>
        <v/>
      </c>
      <c r="BH67" s="81" t="str">
        <f t="shared" si="94"/>
        <v/>
      </c>
      <c r="BI67" s="81" t="str">
        <f t="shared" si="94"/>
        <v/>
      </c>
      <c r="BJ67" s="81" t="str">
        <f t="shared" si="94"/>
        <v/>
      </c>
      <c r="BK67" s="81" t="str">
        <f t="shared" si="94"/>
        <v/>
      </c>
      <c r="BL67" s="81" t="str">
        <f t="shared" si="94"/>
        <v/>
      </c>
      <c r="BM67" s="81" t="str">
        <f t="shared" si="94"/>
        <v/>
      </c>
      <c r="BN67" s="81" t="str">
        <f t="shared" si="94"/>
        <v/>
      </c>
      <c r="BO67" s="81" t="str">
        <f t="shared" si="94"/>
        <v/>
      </c>
      <c r="BP67" s="81" t="str">
        <f t="shared" si="94"/>
        <v/>
      </c>
      <c r="BQ67" s="82" t="str">
        <f t="shared" si="94"/>
        <v/>
      </c>
      <c r="BR67" s="11" t="s">
        <v>0</v>
      </c>
    </row>
    <row r="68" spans="1:70" ht="19.5" customHeight="1" outlineLevel="1">
      <c r="A68" s="328"/>
      <c r="B68" s="83" t="s">
        <v>620</v>
      </c>
      <c r="C68" s="84"/>
      <c r="D68" s="329"/>
      <c r="E68" s="330"/>
      <c r="F68" s="334" t="s">
        <v>621</v>
      </c>
      <c r="G68" s="334"/>
      <c r="H68" s="334"/>
      <c r="I68" s="38"/>
      <c r="J68" s="331" t="s">
        <v>622</v>
      </c>
      <c r="K68" s="332" t="s">
        <v>623</v>
      </c>
      <c r="L68" s="333" t="s">
        <v>624</v>
      </c>
      <c r="M68" s="43"/>
      <c r="N68" s="22"/>
      <c r="O68" s="32">
        <f t="shared" si="64"/>
        <v>0</v>
      </c>
      <c r="P68" s="53"/>
      <c r="Q68" s="53"/>
      <c r="R68" s="22"/>
      <c r="S68" s="32">
        <v>1</v>
      </c>
      <c r="T68" s="53">
        <v>45413</v>
      </c>
      <c r="U68" s="31">
        <f t="shared" si="93"/>
        <v>45413</v>
      </c>
      <c r="V68" s="22"/>
      <c r="W68" s="32">
        <f t="shared" si="65"/>
        <v>1</v>
      </c>
      <c r="X68" s="53">
        <v>45413</v>
      </c>
      <c r="Y68" s="53">
        <v>45413</v>
      </c>
      <c r="Z68" s="24"/>
      <c r="AA68" s="40"/>
      <c r="AB68" s="24"/>
      <c r="AC68" s="335"/>
      <c r="AD68" s="40" t="s">
        <v>549</v>
      </c>
      <c r="AE68" s="40"/>
      <c r="AF68" s="41"/>
      <c r="AG68" s="41" t="s">
        <v>584</v>
      </c>
      <c r="AH68" s="28"/>
      <c r="AI68" s="291" t="str">
        <f t="shared" ref="AI68:BQ68" si="95">IFERROR(IF(AND($T68&gt;=(EOMONTH(AI$8,-1)+1),$U68&lt;AJ$8,$I68="M"),"u",""),"")</f>
        <v/>
      </c>
      <c r="AJ68" s="81" t="str">
        <f t="shared" si="95"/>
        <v/>
      </c>
      <c r="AK68" s="81" t="str">
        <f t="shared" si="95"/>
        <v/>
      </c>
      <c r="AL68" s="81" t="str">
        <f t="shared" si="95"/>
        <v/>
      </c>
      <c r="AM68" s="81" t="str">
        <f t="shared" si="95"/>
        <v/>
      </c>
      <c r="AN68" s="81" t="str">
        <f t="shared" si="95"/>
        <v/>
      </c>
      <c r="AO68" s="81" t="str">
        <f t="shared" si="95"/>
        <v/>
      </c>
      <c r="AP68" s="81" t="str">
        <f t="shared" si="95"/>
        <v/>
      </c>
      <c r="AQ68" s="81" t="str">
        <f t="shared" si="95"/>
        <v/>
      </c>
      <c r="AR68" s="81" t="str">
        <f t="shared" si="95"/>
        <v/>
      </c>
      <c r="AS68" s="81" t="str">
        <f t="shared" si="95"/>
        <v/>
      </c>
      <c r="AT68" s="81" t="str">
        <f t="shared" si="95"/>
        <v/>
      </c>
      <c r="AU68" s="81" t="str">
        <f t="shared" si="95"/>
        <v/>
      </c>
      <c r="AV68" s="81" t="str">
        <f t="shared" si="95"/>
        <v/>
      </c>
      <c r="AW68" s="81" t="str">
        <f t="shared" si="95"/>
        <v/>
      </c>
      <c r="AX68" s="81" t="str">
        <f t="shared" si="95"/>
        <v/>
      </c>
      <c r="AY68" s="81" t="str">
        <f t="shared" si="95"/>
        <v/>
      </c>
      <c r="AZ68" s="81" t="str">
        <f t="shared" si="95"/>
        <v/>
      </c>
      <c r="BA68" s="81" t="str">
        <f t="shared" si="95"/>
        <v/>
      </c>
      <c r="BB68" s="81" t="str">
        <f t="shared" si="95"/>
        <v/>
      </c>
      <c r="BC68" s="81" t="str">
        <f t="shared" si="95"/>
        <v/>
      </c>
      <c r="BD68" s="81" t="str">
        <f t="shared" si="95"/>
        <v/>
      </c>
      <c r="BE68" s="81" t="str">
        <f t="shared" si="95"/>
        <v/>
      </c>
      <c r="BF68" s="81" t="str">
        <f t="shared" si="95"/>
        <v/>
      </c>
      <c r="BG68" s="81" t="str">
        <f t="shared" si="95"/>
        <v/>
      </c>
      <c r="BH68" s="81" t="str">
        <f t="shared" si="95"/>
        <v/>
      </c>
      <c r="BI68" s="81" t="str">
        <f t="shared" si="95"/>
        <v/>
      </c>
      <c r="BJ68" s="81" t="str">
        <f t="shared" si="95"/>
        <v/>
      </c>
      <c r="BK68" s="81" t="str">
        <f t="shared" si="95"/>
        <v/>
      </c>
      <c r="BL68" s="81" t="str">
        <f t="shared" si="95"/>
        <v/>
      </c>
      <c r="BM68" s="81" t="str">
        <f t="shared" si="95"/>
        <v/>
      </c>
      <c r="BN68" s="81" t="str">
        <f t="shared" si="95"/>
        <v/>
      </c>
      <c r="BO68" s="81" t="str">
        <f t="shared" si="95"/>
        <v/>
      </c>
      <c r="BP68" s="81" t="str">
        <f t="shared" si="95"/>
        <v/>
      </c>
      <c r="BQ68" s="82" t="str">
        <f t="shared" si="95"/>
        <v/>
      </c>
      <c r="BR68" s="11" t="s">
        <v>0</v>
      </c>
    </row>
    <row r="69" spans="1:70" ht="19.5" customHeight="1" outlineLevel="1">
      <c r="A69" s="328"/>
      <c r="B69" s="83" t="s">
        <v>625</v>
      </c>
      <c r="C69" s="84"/>
      <c r="D69" s="329"/>
      <c r="E69" s="330"/>
      <c r="F69" s="330" t="s">
        <v>626</v>
      </c>
      <c r="G69" s="330"/>
      <c r="H69" s="330"/>
      <c r="I69" s="38"/>
      <c r="J69" s="331"/>
      <c r="K69" s="332" t="s">
        <v>627</v>
      </c>
      <c r="L69" s="333"/>
      <c r="M69" s="43"/>
      <c r="N69" s="22"/>
      <c r="O69" s="32">
        <f t="shared" si="64"/>
        <v>22</v>
      </c>
      <c r="P69" s="53">
        <v>45505</v>
      </c>
      <c r="Q69" s="53">
        <f>P69+30</f>
        <v>45535</v>
      </c>
      <c r="R69" s="22"/>
      <c r="S69" s="32">
        <v>15</v>
      </c>
      <c r="T69" s="53">
        <v>45536</v>
      </c>
      <c r="U69" s="31">
        <f t="shared" si="93"/>
        <v>45554</v>
      </c>
      <c r="V69" s="22"/>
      <c r="W69" s="32">
        <f t="shared" si="65"/>
        <v>21</v>
      </c>
      <c r="X69" s="53">
        <v>45536</v>
      </c>
      <c r="Y69" s="53">
        <v>45565</v>
      </c>
      <c r="Z69" s="24"/>
      <c r="AA69" s="40"/>
      <c r="AB69" s="24"/>
      <c r="AC69" s="335"/>
      <c r="AD69" s="40" t="s">
        <v>549</v>
      </c>
      <c r="AE69" s="40"/>
      <c r="AF69" s="41"/>
      <c r="AG69" s="41"/>
      <c r="AH69" s="28"/>
      <c r="AI69" s="291" t="str">
        <f t="shared" ref="AI69:BQ69" si="96">IFERROR(IF(AND($T69&gt;=(EOMONTH(AI$8,-1)+1),$U69&lt;AJ$8,$I69="M"),"u",""),"")</f>
        <v/>
      </c>
      <c r="AJ69" s="81" t="str">
        <f t="shared" si="96"/>
        <v/>
      </c>
      <c r="AK69" s="81" t="str">
        <f t="shared" si="96"/>
        <v/>
      </c>
      <c r="AL69" s="81" t="str">
        <f t="shared" si="96"/>
        <v/>
      </c>
      <c r="AM69" s="81" t="str">
        <f t="shared" si="96"/>
        <v/>
      </c>
      <c r="AN69" s="81" t="str">
        <f t="shared" si="96"/>
        <v/>
      </c>
      <c r="AO69" s="81" t="str">
        <f t="shared" si="96"/>
        <v/>
      </c>
      <c r="AP69" s="81" t="str">
        <f t="shared" si="96"/>
        <v/>
      </c>
      <c r="AQ69" s="81" t="str">
        <f t="shared" si="96"/>
        <v/>
      </c>
      <c r="AR69" s="81" t="str">
        <f t="shared" si="96"/>
        <v/>
      </c>
      <c r="AS69" s="81" t="str">
        <f t="shared" si="96"/>
        <v/>
      </c>
      <c r="AT69" s="81" t="str">
        <f t="shared" si="96"/>
        <v/>
      </c>
      <c r="AU69" s="81" t="str">
        <f t="shared" si="96"/>
        <v/>
      </c>
      <c r="AV69" s="81" t="str">
        <f t="shared" si="96"/>
        <v/>
      </c>
      <c r="AW69" s="81" t="str">
        <f t="shared" si="96"/>
        <v/>
      </c>
      <c r="AX69" s="81" t="str">
        <f t="shared" si="96"/>
        <v/>
      </c>
      <c r="AY69" s="81" t="str">
        <f t="shared" si="96"/>
        <v/>
      </c>
      <c r="AZ69" s="81" t="str">
        <f t="shared" si="96"/>
        <v/>
      </c>
      <c r="BA69" s="81" t="str">
        <f t="shared" si="96"/>
        <v/>
      </c>
      <c r="BB69" s="81" t="str">
        <f t="shared" si="96"/>
        <v/>
      </c>
      <c r="BC69" s="81" t="str">
        <f t="shared" si="96"/>
        <v/>
      </c>
      <c r="BD69" s="81" t="str">
        <f t="shared" si="96"/>
        <v/>
      </c>
      <c r="BE69" s="81" t="str">
        <f t="shared" si="96"/>
        <v/>
      </c>
      <c r="BF69" s="81" t="str">
        <f t="shared" si="96"/>
        <v/>
      </c>
      <c r="BG69" s="81" t="str">
        <f t="shared" si="96"/>
        <v/>
      </c>
      <c r="BH69" s="81" t="str">
        <f t="shared" si="96"/>
        <v/>
      </c>
      <c r="BI69" s="81" t="str">
        <f t="shared" si="96"/>
        <v/>
      </c>
      <c r="BJ69" s="81" t="str">
        <f t="shared" si="96"/>
        <v/>
      </c>
      <c r="BK69" s="81" t="str">
        <f t="shared" si="96"/>
        <v/>
      </c>
      <c r="BL69" s="81" t="str">
        <f t="shared" si="96"/>
        <v/>
      </c>
      <c r="BM69" s="81" t="str">
        <f t="shared" si="96"/>
        <v/>
      </c>
      <c r="BN69" s="81" t="str">
        <f t="shared" si="96"/>
        <v/>
      </c>
      <c r="BO69" s="81" t="str">
        <f t="shared" si="96"/>
        <v/>
      </c>
      <c r="BP69" s="81" t="str">
        <f t="shared" si="96"/>
        <v/>
      </c>
      <c r="BQ69" s="82" t="str">
        <f t="shared" si="96"/>
        <v/>
      </c>
      <c r="BR69" s="11" t="s">
        <v>0</v>
      </c>
    </row>
    <row r="70" spans="1:70" ht="19.5" customHeight="1" outlineLevel="1">
      <c r="A70" s="320"/>
      <c r="B70" s="83" t="s">
        <v>628</v>
      </c>
      <c r="C70" s="84"/>
      <c r="D70" s="85"/>
      <c r="E70" s="35"/>
      <c r="F70" s="35" t="s">
        <v>629</v>
      </c>
      <c r="G70" s="35"/>
      <c r="H70" s="35"/>
      <c r="I70" s="38"/>
      <c r="J70" s="86" t="s">
        <v>630</v>
      </c>
      <c r="K70" s="140" t="s">
        <v>631</v>
      </c>
      <c r="L70" s="249" t="s">
        <v>586</v>
      </c>
      <c r="M70" s="32"/>
      <c r="N70" s="22"/>
      <c r="O70" s="32">
        <f t="shared" si="64"/>
        <v>131</v>
      </c>
      <c r="P70" s="53">
        <v>45567</v>
      </c>
      <c r="Q70" s="53">
        <v>45749</v>
      </c>
      <c r="R70" s="22"/>
      <c r="S70" s="32">
        <v>120</v>
      </c>
      <c r="T70" s="53">
        <v>45567</v>
      </c>
      <c r="U70" s="31">
        <f t="shared" si="93"/>
        <v>45734</v>
      </c>
      <c r="V70" s="22"/>
      <c r="W70" s="32">
        <f t="shared" si="65"/>
        <v>131</v>
      </c>
      <c r="X70" s="53">
        <v>45567</v>
      </c>
      <c r="Y70" s="53">
        <v>45749</v>
      </c>
      <c r="Z70" s="24"/>
      <c r="AA70" s="40" t="s">
        <v>632</v>
      </c>
      <c r="AB70" s="24"/>
      <c r="AC70" s="46"/>
      <c r="AD70" s="40" t="s">
        <v>633</v>
      </c>
      <c r="AE70" s="40"/>
      <c r="AF70" s="41"/>
      <c r="AG70" s="41"/>
      <c r="AH70" s="28"/>
      <c r="AI70" s="291" t="str">
        <f t="shared" ref="AI70:BQ70" si="97">IFERROR(IF(AND($T70&gt;=(EOMONTH(AI$8,-1)+1),$U70&lt;AJ$8,$I70="M"),"u",""),"")</f>
        <v/>
      </c>
      <c r="AJ70" s="81" t="str">
        <f t="shared" si="97"/>
        <v/>
      </c>
      <c r="AK70" s="81" t="str">
        <f t="shared" si="97"/>
        <v/>
      </c>
      <c r="AL70" s="81" t="str">
        <f t="shared" si="97"/>
        <v/>
      </c>
      <c r="AM70" s="81" t="str">
        <f t="shared" si="97"/>
        <v/>
      </c>
      <c r="AN70" s="81" t="str">
        <f t="shared" si="97"/>
        <v/>
      </c>
      <c r="AO70" s="81" t="str">
        <f t="shared" si="97"/>
        <v/>
      </c>
      <c r="AP70" s="81" t="str">
        <f t="shared" si="97"/>
        <v/>
      </c>
      <c r="AQ70" s="81" t="str">
        <f t="shared" si="97"/>
        <v/>
      </c>
      <c r="AR70" s="81" t="str">
        <f t="shared" si="97"/>
        <v/>
      </c>
      <c r="AS70" s="81" t="str">
        <f t="shared" si="97"/>
        <v/>
      </c>
      <c r="AT70" s="81" t="str">
        <f t="shared" si="97"/>
        <v/>
      </c>
      <c r="AU70" s="81" t="str">
        <f t="shared" si="97"/>
        <v/>
      </c>
      <c r="AV70" s="81" t="str">
        <f t="shared" si="97"/>
        <v/>
      </c>
      <c r="AW70" s="81" t="str">
        <f t="shared" si="97"/>
        <v/>
      </c>
      <c r="AX70" s="81" t="str">
        <f t="shared" si="97"/>
        <v/>
      </c>
      <c r="AY70" s="81" t="str">
        <f t="shared" si="97"/>
        <v/>
      </c>
      <c r="AZ70" s="81" t="str">
        <f t="shared" si="97"/>
        <v/>
      </c>
      <c r="BA70" s="81" t="str">
        <f t="shared" si="97"/>
        <v/>
      </c>
      <c r="BB70" s="81" t="str">
        <f t="shared" si="97"/>
        <v/>
      </c>
      <c r="BC70" s="81" t="str">
        <f t="shared" si="97"/>
        <v/>
      </c>
      <c r="BD70" s="81" t="str">
        <f t="shared" si="97"/>
        <v/>
      </c>
      <c r="BE70" s="81" t="str">
        <f t="shared" si="97"/>
        <v/>
      </c>
      <c r="BF70" s="81" t="str">
        <f t="shared" si="97"/>
        <v/>
      </c>
      <c r="BG70" s="81" t="str">
        <f t="shared" si="97"/>
        <v/>
      </c>
      <c r="BH70" s="81" t="str">
        <f t="shared" si="97"/>
        <v/>
      </c>
      <c r="BI70" s="81" t="str">
        <f t="shared" si="97"/>
        <v/>
      </c>
      <c r="BJ70" s="81" t="str">
        <f t="shared" si="97"/>
        <v/>
      </c>
      <c r="BK70" s="81" t="str">
        <f t="shared" si="97"/>
        <v/>
      </c>
      <c r="BL70" s="81" t="str">
        <f t="shared" si="97"/>
        <v/>
      </c>
      <c r="BM70" s="81" t="str">
        <f t="shared" si="97"/>
        <v/>
      </c>
      <c r="BN70" s="81" t="str">
        <f t="shared" si="97"/>
        <v/>
      </c>
      <c r="BO70" s="81" t="str">
        <f t="shared" si="97"/>
        <v/>
      </c>
      <c r="BP70" s="81" t="str">
        <f t="shared" si="97"/>
        <v/>
      </c>
      <c r="BQ70" s="82" t="str">
        <f t="shared" si="97"/>
        <v/>
      </c>
      <c r="BR70" s="11" t="s">
        <v>0</v>
      </c>
    </row>
    <row r="71" spans="1:70" ht="19.5" customHeight="1">
      <c r="A71" s="336" t="s">
        <v>634</v>
      </c>
      <c r="B71" s="83"/>
      <c r="C71" s="84"/>
      <c r="D71" s="329"/>
      <c r="E71" s="334" t="s">
        <v>635</v>
      </c>
      <c r="F71" s="330"/>
      <c r="G71" s="330"/>
      <c r="H71" s="330"/>
      <c r="I71" s="38"/>
      <c r="J71" s="331"/>
      <c r="K71" s="332"/>
      <c r="L71" s="333"/>
      <c r="M71" s="43"/>
      <c r="N71" s="22"/>
      <c r="O71" s="32">
        <f t="shared" si="64"/>
        <v>0</v>
      </c>
      <c r="P71" s="31">
        <v>45444</v>
      </c>
      <c r="Q71" s="31">
        <v>45444</v>
      </c>
      <c r="R71" s="22"/>
      <c r="S71" s="32">
        <f>IF(T71=0,"",U71-T71)</f>
        <v>0</v>
      </c>
      <c r="T71" s="31">
        <v>45444</v>
      </c>
      <c r="U71" s="31">
        <f>T71</f>
        <v>45444</v>
      </c>
      <c r="V71" s="22"/>
      <c r="W71" s="32">
        <f t="shared" si="65"/>
        <v>0</v>
      </c>
      <c r="X71" s="31">
        <v>45444</v>
      </c>
      <c r="Y71" s="31">
        <v>45444</v>
      </c>
      <c r="Z71" s="24"/>
      <c r="AA71" s="40"/>
      <c r="AB71" s="24"/>
      <c r="AC71" s="335"/>
      <c r="AD71" s="40"/>
      <c r="AE71" s="40"/>
      <c r="AF71" s="41"/>
      <c r="AG71" s="41" t="s">
        <v>584</v>
      </c>
      <c r="AH71" s="28"/>
      <c r="AI71" s="291" t="str">
        <f t="shared" ref="AI71:BQ71" si="98">IFERROR(IF(AND($T71&gt;=(EOMONTH(AI$8,-1)+1),$U71&lt;AJ$8,$I71="M"),"u",""),"")</f>
        <v/>
      </c>
      <c r="AJ71" s="81" t="str">
        <f t="shared" si="98"/>
        <v/>
      </c>
      <c r="AK71" s="81" t="str">
        <f t="shared" si="98"/>
        <v/>
      </c>
      <c r="AL71" s="81" t="str">
        <f t="shared" si="98"/>
        <v/>
      </c>
      <c r="AM71" s="81" t="str">
        <f t="shared" si="98"/>
        <v/>
      </c>
      <c r="AN71" s="81" t="str">
        <f t="shared" si="98"/>
        <v/>
      </c>
      <c r="AO71" s="81" t="str">
        <f t="shared" si="98"/>
        <v/>
      </c>
      <c r="AP71" s="81" t="str">
        <f t="shared" si="98"/>
        <v/>
      </c>
      <c r="AQ71" s="81" t="str">
        <f t="shared" si="98"/>
        <v/>
      </c>
      <c r="AR71" s="81" t="str">
        <f t="shared" si="98"/>
        <v/>
      </c>
      <c r="AS71" s="81" t="str">
        <f t="shared" si="98"/>
        <v/>
      </c>
      <c r="AT71" s="81" t="str">
        <f t="shared" si="98"/>
        <v/>
      </c>
      <c r="AU71" s="81" t="str">
        <f t="shared" si="98"/>
        <v/>
      </c>
      <c r="AV71" s="81" t="str">
        <f t="shared" si="98"/>
        <v/>
      </c>
      <c r="AW71" s="81" t="str">
        <f t="shared" si="98"/>
        <v/>
      </c>
      <c r="AX71" s="81" t="str">
        <f t="shared" si="98"/>
        <v/>
      </c>
      <c r="AY71" s="81" t="str">
        <f t="shared" si="98"/>
        <v/>
      </c>
      <c r="AZ71" s="81" t="str">
        <f t="shared" si="98"/>
        <v/>
      </c>
      <c r="BA71" s="81" t="str">
        <f t="shared" si="98"/>
        <v/>
      </c>
      <c r="BB71" s="81" t="str">
        <f t="shared" si="98"/>
        <v/>
      </c>
      <c r="BC71" s="81" t="str">
        <f t="shared" si="98"/>
        <v/>
      </c>
      <c r="BD71" s="81" t="str">
        <f t="shared" si="98"/>
        <v/>
      </c>
      <c r="BE71" s="81" t="str">
        <f t="shared" si="98"/>
        <v/>
      </c>
      <c r="BF71" s="81" t="str">
        <f t="shared" si="98"/>
        <v/>
      </c>
      <c r="BG71" s="81" t="str">
        <f t="shared" si="98"/>
        <v/>
      </c>
      <c r="BH71" s="81" t="str">
        <f t="shared" si="98"/>
        <v/>
      </c>
      <c r="BI71" s="81" t="str">
        <f t="shared" si="98"/>
        <v/>
      </c>
      <c r="BJ71" s="81" t="str">
        <f t="shared" si="98"/>
        <v/>
      </c>
      <c r="BK71" s="81" t="str">
        <f t="shared" si="98"/>
        <v/>
      </c>
      <c r="BL71" s="81" t="str">
        <f t="shared" si="98"/>
        <v/>
      </c>
      <c r="BM71" s="81" t="str">
        <f t="shared" si="98"/>
        <v/>
      </c>
      <c r="BN71" s="81" t="str">
        <f t="shared" si="98"/>
        <v/>
      </c>
      <c r="BO71" s="81" t="str">
        <f t="shared" si="98"/>
        <v/>
      </c>
      <c r="BP71" s="81" t="str">
        <f t="shared" si="98"/>
        <v/>
      </c>
      <c r="BQ71" s="82" t="str">
        <f t="shared" si="98"/>
        <v/>
      </c>
      <c r="BR71" s="11" t="s">
        <v>0</v>
      </c>
    </row>
    <row r="72" spans="1:70" ht="19.5" customHeight="1">
      <c r="A72" s="336" t="s">
        <v>636</v>
      </c>
      <c r="B72" s="293"/>
      <c r="C72" s="294"/>
      <c r="D72" s="295"/>
      <c r="E72" s="337" t="s">
        <v>637</v>
      </c>
      <c r="F72" s="296"/>
      <c r="G72" s="296"/>
      <c r="H72" s="296"/>
      <c r="I72" s="297"/>
      <c r="J72" s="298"/>
      <c r="K72" s="299"/>
      <c r="L72" s="300"/>
      <c r="M72" s="301"/>
      <c r="N72" s="22"/>
      <c r="O72" s="32"/>
      <c r="P72" s="31"/>
      <c r="Q72" s="31"/>
      <c r="R72" s="22"/>
      <c r="S72" s="32"/>
      <c r="T72" s="31"/>
      <c r="U72" s="31"/>
      <c r="V72" s="22"/>
      <c r="W72" s="32"/>
      <c r="X72" s="302"/>
      <c r="Y72" s="302"/>
      <c r="Z72" s="303"/>
      <c r="AA72" s="338"/>
      <c r="AB72" s="303"/>
      <c r="AC72" s="304"/>
      <c r="AD72" s="338"/>
      <c r="AE72" s="338"/>
      <c r="AF72" s="339"/>
      <c r="AG72" s="339"/>
      <c r="AH72" s="28"/>
      <c r="AI72" s="291" t="str">
        <f t="shared" ref="AI72:BQ72" si="99">IFERROR(IF(AND($T72&gt;=(EOMONTH(AI$8,-1)+1),$U72&lt;AJ$8,$I72="M"),"u",""),"")</f>
        <v/>
      </c>
      <c r="AJ72" s="81" t="str">
        <f t="shared" si="99"/>
        <v/>
      </c>
      <c r="AK72" s="81" t="str">
        <f t="shared" si="99"/>
        <v/>
      </c>
      <c r="AL72" s="81" t="str">
        <f t="shared" si="99"/>
        <v/>
      </c>
      <c r="AM72" s="81" t="str">
        <f t="shared" si="99"/>
        <v/>
      </c>
      <c r="AN72" s="81" t="str">
        <f t="shared" si="99"/>
        <v/>
      </c>
      <c r="AO72" s="81" t="str">
        <f t="shared" si="99"/>
        <v/>
      </c>
      <c r="AP72" s="81" t="str">
        <f t="shared" si="99"/>
        <v/>
      </c>
      <c r="AQ72" s="81" t="str">
        <f t="shared" si="99"/>
        <v/>
      </c>
      <c r="AR72" s="81" t="str">
        <f t="shared" si="99"/>
        <v/>
      </c>
      <c r="AS72" s="81" t="str">
        <f t="shared" si="99"/>
        <v/>
      </c>
      <c r="AT72" s="81" t="str">
        <f t="shared" si="99"/>
        <v/>
      </c>
      <c r="AU72" s="81" t="str">
        <f t="shared" si="99"/>
        <v/>
      </c>
      <c r="AV72" s="81" t="str">
        <f t="shared" si="99"/>
        <v/>
      </c>
      <c r="AW72" s="81" t="str">
        <f t="shared" si="99"/>
        <v/>
      </c>
      <c r="AX72" s="81" t="str">
        <f t="shared" si="99"/>
        <v/>
      </c>
      <c r="AY72" s="81" t="str">
        <f t="shared" si="99"/>
        <v/>
      </c>
      <c r="AZ72" s="81" t="str">
        <f t="shared" si="99"/>
        <v/>
      </c>
      <c r="BA72" s="81" t="str">
        <f t="shared" si="99"/>
        <v/>
      </c>
      <c r="BB72" s="81" t="str">
        <f t="shared" si="99"/>
        <v/>
      </c>
      <c r="BC72" s="81" t="str">
        <f t="shared" si="99"/>
        <v/>
      </c>
      <c r="BD72" s="81" t="str">
        <f t="shared" si="99"/>
        <v/>
      </c>
      <c r="BE72" s="81" t="str">
        <f t="shared" si="99"/>
        <v/>
      </c>
      <c r="BF72" s="81" t="str">
        <f t="shared" si="99"/>
        <v/>
      </c>
      <c r="BG72" s="81" t="str">
        <f t="shared" si="99"/>
        <v/>
      </c>
      <c r="BH72" s="81" t="str">
        <f t="shared" si="99"/>
        <v/>
      </c>
      <c r="BI72" s="81" t="str">
        <f t="shared" si="99"/>
        <v/>
      </c>
      <c r="BJ72" s="81" t="str">
        <f t="shared" si="99"/>
        <v/>
      </c>
      <c r="BK72" s="81" t="str">
        <f t="shared" si="99"/>
        <v/>
      </c>
      <c r="BL72" s="81" t="str">
        <f t="shared" si="99"/>
        <v/>
      </c>
      <c r="BM72" s="81" t="str">
        <f t="shared" si="99"/>
        <v/>
      </c>
      <c r="BN72" s="81" t="str">
        <f t="shared" si="99"/>
        <v/>
      </c>
      <c r="BO72" s="81" t="str">
        <f t="shared" si="99"/>
        <v/>
      </c>
      <c r="BP72" s="81" t="str">
        <f t="shared" si="99"/>
        <v/>
      </c>
      <c r="BQ72" s="82" t="str">
        <f t="shared" si="99"/>
        <v/>
      </c>
      <c r="BR72" s="11"/>
    </row>
    <row r="73" spans="1:70" ht="19.5" customHeight="1" collapsed="1">
      <c r="A73" s="336" t="s">
        <v>638</v>
      </c>
      <c r="B73" s="83"/>
      <c r="C73" s="84"/>
      <c r="D73" s="329"/>
      <c r="E73" s="330" t="s">
        <v>639</v>
      </c>
      <c r="F73" s="330"/>
      <c r="G73" s="330"/>
      <c r="H73" s="330"/>
      <c r="I73" s="38"/>
      <c r="J73" s="331" t="s">
        <v>640</v>
      </c>
      <c r="K73" s="332"/>
      <c r="L73" s="333"/>
      <c r="M73" s="43"/>
      <c r="N73" s="22"/>
      <c r="O73" s="32">
        <f t="shared" ref="O73:O85" si="100">NETWORKDAYS(P73,Q73)</f>
        <v>63</v>
      </c>
      <c r="P73" s="31">
        <f>MIN(P74:P82)</f>
        <v>45433</v>
      </c>
      <c r="Q73" s="31">
        <f>MAX(Q74:Q82)</f>
        <v>45519</v>
      </c>
      <c r="R73" s="22"/>
      <c r="S73" s="32">
        <f>IF(T73=0,"",U73-T73)</f>
        <v>117</v>
      </c>
      <c r="T73" s="31">
        <f>MIN(T74:T82)</f>
        <v>45433</v>
      </c>
      <c r="U73" s="31">
        <f>MAX(U74:U82)</f>
        <v>45550</v>
      </c>
      <c r="V73" s="22"/>
      <c r="W73" s="32">
        <f t="shared" ref="W73:W114" ca="1" si="101">NETWORKDAYS(X73,Y73)</f>
        <v>426</v>
      </c>
      <c r="X73" s="31">
        <f>MIN(X74:X82)</f>
        <v>45433</v>
      </c>
      <c r="Y73" s="31">
        <f ca="1">MAX(Y74:Y82)</f>
        <v>46028</v>
      </c>
      <c r="Z73" s="24"/>
      <c r="AA73" s="40"/>
      <c r="AB73" s="24"/>
      <c r="AC73" s="335"/>
      <c r="AD73" s="40"/>
      <c r="AE73" s="40"/>
      <c r="AF73" s="41"/>
      <c r="AG73" s="41"/>
      <c r="AH73" s="28"/>
      <c r="AI73" s="291" t="str">
        <f t="shared" ref="AI73:BQ73" si="102">IFERROR(IF(AND($T73&gt;=(EOMONTH(AI$8,-1)+1),$U73&lt;AJ$8,$I73="M"),"u",""),"")</f>
        <v/>
      </c>
      <c r="AJ73" s="81" t="str">
        <f t="shared" si="102"/>
        <v/>
      </c>
      <c r="AK73" s="81" t="str">
        <f t="shared" si="102"/>
        <v/>
      </c>
      <c r="AL73" s="81" t="str">
        <f t="shared" si="102"/>
        <v/>
      </c>
      <c r="AM73" s="81" t="str">
        <f t="shared" si="102"/>
        <v/>
      </c>
      <c r="AN73" s="81" t="str">
        <f t="shared" si="102"/>
        <v/>
      </c>
      <c r="AO73" s="81" t="str">
        <f t="shared" si="102"/>
        <v/>
      </c>
      <c r="AP73" s="81" t="str">
        <f t="shared" si="102"/>
        <v/>
      </c>
      <c r="AQ73" s="81" t="str">
        <f t="shared" si="102"/>
        <v/>
      </c>
      <c r="AR73" s="81" t="str">
        <f t="shared" si="102"/>
        <v/>
      </c>
      <c r="AS73" s="81" t="str">
        <f t="shared" si="102"/>
        <v/>
      </c>
      <c r="AT73" s="81" t="str">
        <f t="shared" si="102"/>
        <v/>
      </c>
      <c r="AU73" s="81" t="str">
        <f t="shared" si="102"/>
        <v/>
      </c>
      <c r="AV73" s="81" t="str">
        <f t="shared" si="102"/>
        <v/>
      </c>
      <c r="AW73" s="81" t="str">
        <f t="shared" si="102"/>
        <v/>
      </c>
      <c r="AX73" s="81" t="str">
        <f t="shared" si="102"/>
        <v/>
      </c>
      <c r="AY73" s="81" t="str">
        <f t="shared" si="102"/>
        <v/>
      </c>
      <c r="AZ73" s="81" t="str">
        <f t="shared" si="102"/>
        <v/>
      </c>
      <c r="BA73" s="81" t="str">
        <f t="shared" si="102"/>
        <v/>
      </c>
      <c r="BB73" s="81" t="str">
        <f t="shared" si="102"/>
        <v/>
      </c>
      <c r="BC73" s="81" t="str">
        <f t="shared" si="102"/>
        <v/>
      </c>
      <c r="BD73" s="81" t="str">
        <f t="shared" si="102"/>
        <v/>
      </c>
      <c r="BE73" s="81" t="str">
        <f t="shared" si="102"/>
        <v/>
      </c>
      <c r="BF73" s="81" t="str">
        <f t="shared" si="102"/>
        <v/>
      </c>
      <c r="BG73" s="81" t="str">
        <f t="shared" si="102"/>
        <v/>
      </c>
      <c r="BH73" s="81" t="str">
        <f t="shared" si="102"/>
        <v/>
      </c>
      <c r="BI73" s="81" t="str">
        <f t="shared" si="102"/>
        <v/>
      </c>
      <c r="BJ73" s="81" t="str">
        <f t="shared" si="102"/>
        <v/>
      </c>
      <c r="BK73" s="81" t="str">
        <f t="shared" si="102"/>
        <v/>
      </c>
      <c r="BL73" s="81" t="str">
        <f t="shared" si="102"/>
        <v/>
      </c>
      <c r="BM73" s="81" t="str">
        <f t="shared" si="102"/>
        <v/>
      </c>
      <c r="BN73" s="81" t="str">
        <f t="shared" si="102"/>
        <v/>
      </c>
      <c r="BO73" s="81" t="str">
        <f t="shared" si="102"/>
        <v/>
      </c>
      <c r="BP73" s="81" t="str">
        <f t="shared" si="102"/>
        <v/>
      </c>
      <c r="BQ73" s="82" t="str">
        <f t="shared" si="102"/>
        <v/>
      </c>
      <c r="BR73" s="11" t="s">
        <v>0</v>
      </c>
    </row>
    <row r="74" spans="1:70" ht="19.5" hidden="1" customHeight="1" outlineLevel="1">
      <c r="A74" s="320"/>
      <c r="B74" s="83" t="s">
        <v>641</v>
      </c>
      <c r="C74" s="84"/>
      <c r="D74" s="85"/>
      <c r="E74" s="35"/>
      <c r="F74" s="35" t="s">
        <v>642</v>
      </c>
      <c r="G74" s="35"/>
      <c r="H74" s="35"/>
      <c r="I74" s="38"/>
      <c r="J74" s="86" t="s">
        <v>630</v>
      </c>
      <c r="K74" s="140" t="s">
        <v>631</v>
      </c>
      <c r="L74" s="249" t="s">
        <v>586</v>
      </c>
      <c r="M74" s="32"/>
      <c r="N74" s="22"/>
      <c r="O74" s="32">
        <f t="shared" si="100"/>
        <v>26</v>
      </c>
      <c r="P74" s="31">
        <v>45474</v>
      </c>
      <c r="Q74" s="31">
        <v>45509</v>
      </c>
      <c r="R74" s="22"/>
      <c r="S74" s="32">
        <v>45</v>
      </c>
      <c r="T74" s="31">
        <v>45474</v>
      </c>
      <c r="U74" s="31">
        <f>IF(S74&lt;&gt;"",WORKDAY(T74,S74-1),"")</f>
        <v>45534</v>
      </c>
      <c r="V74" s="22"/>
      <c r="W74" s="32">
        <f t="shared" si="101"/>
        <v>49</v>
      </c>
      <c r="X74" s="53">
        <v>45474</v>
      </c>
      <c r="Y74" s="53">
        <v>45540</v>
      </c>
      <c r="Z74" s="24"/>
      <c r="AA74" s="40"/>
      <c r="AB74" s="24"/>
      <c r="AC74" s="46"/>
      <c r="AD74" s="40" t="s">
        <v>633</v>
      </c>
      <c r="AE74" s="40"/>
      <c r="AF74" s="41"/>
      <c r="AG74" s="41" t="s">
        <v>643</v>
      </c>
      <c r="AH74" s="28"/>
      <c r="AI74" s="291" t="str">
        <f t="shared" ref="AI74:BQ74" si="103">IFERROR(IF(AND($T74&gt;=(EOMONTH(AI$8,-1)+1),$U74&lt;AJ$8,$I74="M"),"u",""),"")</f>
        <v/>
      </c>
      <c r="AJ74" s="81" t="str">
        <f t="shared" si="103"/>
        <v/>
      </c>
      <c r="AK74" s="81" t="str">
        <f t="shared" si="103"/>
        <v/>
      </c>
      <c r="AL74" s="81" t="str">
        <f t="shared" si="103"/>
        <v/>
      </c>
      <c r="AM74" s="81" t="str">
        <f t="shared" si="103"/>
        <v/>
      </c>
      <c r="AN74" s="81" t="str">
        <f t="shared" si="103"/>
        <v/>
      </c>
      <c r="AO74" s="81" t="str">
        <f t="shared" si="103"/>
        <v/>
      </c>
      <c r="AP74" s="81" t="str">
        <f t="shared" si="103"/>
        <v/>
      </c>
      <c r="AQ74" s="81" t="str">
        <f t="shared" si="103"/>
        <v/>
      </c>
      <c r="AR74" s="81" t="str">
        <f t="shared" si="103"/>
        <v/>
      </c>
      <c r="AS74" s="81" t="str">
        <f t="shared" si="103"/>
        <v/>
      </c>
      <c r="AT74" s="81" t="str">
        <f t="shared" si="103"/>
        <v/>
      </c>
      <c r="AU74" s="81" t="str">
        <f t="shared" si="103"/>
        <v/>
      </c>
      <c r="AV74" s="81" t="str">
        <f t="shared" si="103"/>
        <v/>
      </c>
      <c r="AW74" s="81" t="str">
        <f t="shared" si="103"/>
        <v/>
      </c>
      <c r="AX74" s="81" t="str">
        <f t="shared" si="103"/>
        <v/>
      </c>
      <c r="AY74" s="81" t="str">
        <f t="shared" si="103"/>
        <v/>
      </c>
      <c r="AZ74" s="81" t="str">
        <f t="shared" si="103"/>
        <v/>
      </c>
      <c r="BA74" s="81" t="str">
        <f t="shared" si="103"/>
        <v/>
      </c>
      <c r="BB74" s="81" t="str">
        <f t="shared" si="103"/>
        <v/>
      </c>
      <c r="BC74" s="81" t="str">
        <f t="shared" si="103"/>
        <v/>
      </c>
      <c r="BD74" s="81" t="str">
        <f t="shared" si="103"/>
        <v/>
      </c>
      <c r="BE74" s="81" t="str">
        <f t="shared" si="103"/>
        <v/>
      </c>
      <c r="BF74" s="81" t="str">
        <f t="shared" si="103"/>
        <v/>
      </c>
      <c r="BG74" s="81" t="str">
        <f t="shared" si="103"/>
        <v/>
      </c>
      <c r="BH74" s="81" t="str">
        <f t="shared" si="103"/>
        <v/>
      </c>
      <c r="BI74" s="81" t="str">
        <f t="shared" si="103"/>
        <v/>
      </c>
      <c r="BJ74" s="81" t="str">
        <f t="shared" si="103"/>
        <v/>
      </c>
      <c r="BK74" s="81" t="str">
        <f t="shared" si="103"/>
        <v/>
      </c>
      <c r="BL74" s="81" t="str">
        <f t="shared" si="103"/>
        <v/>
      </c>
      <c r="BM74" s="81" t="str">
        <f t="shared" si="103"/>
        <v/>
      </c>
      <c r="BN74" s="81" t="str">
        <f t="shared" si="103"/>
        <v/>
      </c>
      <c r="BO74" s="81" t="str">
        <f t="shared" si="103"/>
        <v/>
      </c>
      <c r="BP74" s="81" t="str">
        <f t="shared" si="103"/>
        <v/>
      </c>
      <c r="BQ74" s="82" t="str">
        <f t="shared" si="103"/>
        <v/>
      </c>
      <c r="BR74" s="11" t="s">
        <v>0</v>
      </c>
    </row>
    <row r="75" spans="1:70" ht="15.75" hidden="1" customHeight="1" outlineLevel="1">
      <c r="A75" s="320"/>
      <c r="B75" s="83" t="s">
        <v>644</v>
      </c>
      <c r="C75" s="84"/>
      <c r="D75" s="85"/>
      <c r="E75" s="35"/>
      <c r="F75" s="35" t="s">
        <v>645</v>
      </c>
      <c r="G75" s="35"/>
      <c r="H75" s="35"/>
      <c r="I75" s="38"/>
      <c r="J75" s="86" t="s">
        <v>630</v>
      </c>
      <c r="K75" s="140" t="s">
        <v>631</v>
      </c>
      <c r="L75" s="249" t="s">
        <v>586</v>
      </c>
      <c r="M75" s="32"/>
      <c r="N75" s="22"/>
      <c r="O75" s="32">
        <f t="shared" si="100"/>
        <v>1</v>
      </c>
      <c r="P75" s="31">
        <v>45433</v>
      </c>
      <c r="Q75" s="31">
        <f t="shared" ref="Q75:Q82" si="104">P75</f>
        <v>45433</v>
      </c>
      <c r="R75" s="22"/>
      <c r="S75" s="32">
        <f>IF(T75=0,"",U75-T75)</f>
        <v>117</v>
      </c>
      <c r="T75" s="31">
        <f>MIN(T76:T80)</f>
        <v>45433</v>
      </c>
      <c r="U75" s="31">
        <f>MAX(U76:U80)</f>
        <v>45550</v>
      </c>
      <c r="V75" s="22"/>
      <c r="W75" s="32">
        <f t="shared" si="101"/>
        <v>1</v>
      </c>
      <c r="X75" s="53">
        <v>45433</v>
      </c>
      <c r="Y75" s="53">
        <v>45433</v>
      </c>
      <c r="Z75" s="24"/>
      <c r="AA75" s="40"/>
      <c r="AB75" s="24"/>
      <c r="AC75" s="46"/>
      <c r="AD75" s="40" t="s">
        <v>633</v>
      </c>
      <c r="AE75" s="40"/>
      <c r="AF75" s="41"/>
      <c r="AG75" s="41" t="s">
        <v>493</v>
      </c>
      <c r="AH75" s="28"/>
      <c r="AI75" s="291" t="str">
        <f t="shared" ref="AI75:BQ75" si="105">IFERROR(IF(AND($T75&gt;=(EOMONTH(AI$8,-1)+1),$U75&lt;AJ$8,$I75="M"),"u",""),"")</f>
        <v/>
      </c>
      <c r="AJ75" s="81" t="str">
        <f t="shared" si="105"/>
        <v/>
      </c>
      <c r="AK75" s="81" t="str">
        <f t="shared" si="105"/>
        <v/>
      </c>
      <c r="AL75" s="81" t="str">
        <f t="shared" si="105"/>
        <v/>
      </c>
      <c r="AM75" s="81" t="str">
        <f t="shared" si="105"/>
        <v/>
      </c>
      <c r="AN75" s="81" t="str">
        <f t="shared" si="105"/>
        <v/>
      </c>
      <c r="AO75" s="81" t="str">
        <f t="shared" si="105"/>
        <v/>
      </c>
      <c r="AP75" s="81" t="str">
        <f t="shared" si="105"/>
        <v/>
      </c>
      <c r="AQ75" s="81" t="str">
        <f t="shared" si="105"/>
        <v/>
      </c>
      <c r="AR75" s="81" t="str">
        <f t="shared" si="105"/>
        <v/>
      </c>
      <c r="AS75" s="81" t="str">
        <f t="shared" si="105"/>
        <v/>
      </c>
      <c r="AT75" s="81" t="str">
        <f t="shared" si="105"/>
        <v/>
      </c>
      <c r="AU75" s="81" t="str">
        <f t="shared" si="105"/>
        <v/>
      </c>
      <c r="AV75" s="81" t="str">
        <f t="shared" si="105"/>
        <v/>
      </c>
      <c r="AW75" s="81" t="str">
        <f t="shared" si="105"/>
        <v/>
      </c>
      <c r="AX75" s="81" t="str">
        <f t="shared" si="105"/>
        <v/>
      </c>
      <c r="AY75" s="81" t="str">
        <f t="shared" si="105"/>
        <v/>
      </c>
      <c r="AZ75" s="81" t="str">
        <f t="shared" si="105"/>
        <v/>
      </c>
      <c r="BA75" s="81" t="str">
        <f t="shared" si="105"/>
        <v/>
      </c>
      <c r="BB75" s="81" t="str">
        <f t="shared" si="105"/>
        <v/>
      </c>
      <c r="BC75" s="81" t="str">
        <f t="shared" si="105"/>
        <v/>
      </c>
      <c r="BD75" s="81" t="str">
        <f t="shared" si="105"/>
        <v/>
      </c>
      <c r="BE75" s="81" t="str">
        <f t="shared" si="105"/>
        <v/>
      </c>
      <c r="BF75" s="81" t="str">
        <f t="shared" si="105"/>
        <v/>
      </c>
      <c r="BG75" s="81" t="str">
        <f t="shared" si="105"/>
        <v/>
      </c>
      <c r="BH75" s="81" t="str">
        <f t="shared" si="105"/>
        <v/>
      </c>
      <c r="BI75" s="81" t="str">
        <f t="shared" si="105"/>
        <v/>
      </c>
      <c r="BJ75" s="81" t="str">
        <f t="shared" si="105"/>
        <v/>
      </c>
      <c r="BK75" s="81" t="str">
        <f t="shared" si="105"/>
        <v/>
      </c>
      <c r="BL75" s="81" t="str">
        <f t="shared" si="105"/>
        <v/>
      </c>
      <c r="BM75" s="81" t="str">
        <f t="shared" si="105"/>
        <v/>
      </c>
      <c r="BN75" s="81" t="str">
        <f t="shared" si="105"/>
        <v/>
      </c>
      <c r="BO75" s="81" t="str">
        <f t="shared" si="105"/>
        <v/>
      </c>
      <c r="BP75" s="81" t="str">
        <f t="shared" si="105"/>
        <v/>
      </c>
      <c r="BQ75" s="82" t="str">
        <f t="shared" si="105"/>
        <v/>
      </c>
      <c r="BR75" s="11" t="s">
        <v>0</v>
      </c>
    </row>
    <row r="76" spans="1:70" ht="15.75" hidden="1" customHeight="1" outlineLevel="1">
      <c r="A76" s="320"/>
      <c r="B76" s="83"/>
      <c r="C76" s="141" t="s">
        <v>641</v>
      </c>
      <c r="D76" s="85"/>
      <c r="E76" s="35"/>
      <c r="F76" s="35"/>
      <c r="G76" s="35" t="s">
        <v>646</v>
      </c>
      <c r="H76" s="35"/>
      <c r="I76" s="38"/>
      <c r="J76" s="86" t="s">
        <v>630</v>
      </c>
      <c r="K76" s="140" t="s">
        <v>631</v>
      </c>
      <c r="L76" s="249" t="s">
        <v>586</v>
      </c>
      <c r="M76" s="32"/>
      <c r="N76" s="22"/>
      <c r="O76" s="32">
        <f t="shared" si="100"/>
        <v>1</v>
      </c>
      <c r="P76" s="53">
        <v>45519</v>
      </c>
      <c r="Q76" s="53">
        <f t="shared" si="104"/>
        <v>45519</v>
      </c>
      <c r="R76" s="22"/>
      <c r="S76" s="32">
        <v>1</v>
      </c>
      <c r="T76" s="53">
        <v>45433</v>
      </c>
      <c r="U76" s="53">
        <f t="shared" ref="U76:U78" si="106">T76</f>
        <v>45433</v>
      </c>
      <c r="V76" s="22"/>
      <c r="W76" s="32">
        <f t="shared" si="101"/>
        <v>1</v>
      </c>
      <c r="X76" s="53">
        <v>45433</v>
      </c>
      <c r="Y76" s="53">
        <f t="shared" ref="Y76:Y80" si="107">X76</f>
        <v>45433</v>
      </c>
      <c r="Z76" s="24"/>
      <c r="AA76" s="40"/>
      <c r="AB76" s="24"/>
      <c r="AC76" s="46"/>
      <c r="AD76" s="40" t="s">
        <v>633</v>
      </c>
      <c r="AE76" s="40"/>
      <c r="AF76" s="41"/>
      <c r="AG76" s="41"/>
      <c r="AH76" s="28"/>
      <c r="AI76" s="291" t="str">
        <f t="shared" ref="AI76:BQ76" si="108">IFERROR(IF(AND($T76&gt;=(EOMONTH(AI$8,-1)+1),$U76&lt;AJ$8,$I76="M"),"u",""),"")</f>
        <v/>
      </c>
      <c r="AJ76" s="81" t="str">
        <f t="shared" si="108"/>
        <v/>
      </c>
      <c r="AK76" s="81" t="str">
        <f t="shared" si="108"/>
        <v/>
      </c>
      <c r="AL76" s="81" t="str">
        <f t="shared" si="108"/>
        <v/>
      </c>
      <c r="AM76" s="81" t="str">
        <f t="shared" si="108"/>
        <v/>
      </c>
      <c r="AN76" s="81" t="str">
        <f t="shared" si="108"/>
        <v/>
      </c>
      <c r="AO76" s="81" t="str">
        <f t="shared" si="108"/>
        <v/>
      </c>
      <c r="AP76" s="81" t="str">
        <f t="shared" si="108"/>
        <v/>
      </c>
      <c r="AQ76" s="81" t="str">
        <f t="shared" si="108"/>
        <v/>
      </c>
      <c r="AR76" s="81" t="str">
        <f t="shared" si="108"/>
        <v/>
      </c>
      <c r="AS76" s="81" t="str">
        <f t="shared" si="108"/>
        <v/>
      </c>
      <c r="AT76" s="81" t="str">
        <f t="shared" si="108"/>
        <v/>
      </c>
      <c r="AU76" s="81" t="str">
        <f t="shared" si="108"/>
        <v/>
      </c>
      <c r="AV76" s="81" t="str">
        <f t="shared" si="108"/>
        <v/>
      </c>
      <c r="AW76" s="81" t="str">
        <f t="shared" si="108"/>
        <v/>
      </c>
      <c r="AX76" s="81" t="str">
        <f t="shared" si="108"/>
        <v/>
      </c>
      <c r="AY76" s="81" t="str">
        <f t="shared" si="108"/>
        <v/>
      </c>
      <c r="AZ76" s="81" t="str">
        <f t="shared" si="108"/>
        <v/>
      </c>
      <c r="BA76" s="81" t="str">
        <f t="shared" si="108"/>
        <v/>
      </c>
      <c r="BB76" s="81" t="str">
        <f t="shared" si="108"/>
        <v/>
      </c>
      <c r="BC76" s="81" t="str">
        <f t="shared" si="108"/>
        <v/>
      </c>
      <c r="BD76" s="81" t="str">
        <f t="shared" si="108"/>
        <v/>
      </c>
      <c r="BE76" s="81" t="str">
        <f t="shared" si="108"/>
        <v/>
      </c>
      <c r="BF76" s="81" t="str">
        <f t="shared" si="108"/>
        <v/>
      </c>
      <c r="BG76" s="81" t="str">
        <f t="shared" si="108"/>
        <v/>
      </c>
      <c r="BH76" s="81" t="str">
        <f t="shared" si="108"/>
        <v/>
      </c>
      <c r="BI76" s="81" t="str">
        <f t="shared" si="108"/>
        <v/>
      </c>
      <c r="BJ76" s="81" t="str">
        <f t="shared" si="108"/>
        <v/>
      </c>
      <c r="BK76" s="81" t="str">
        <f t="shared" si="108"/>
        <v/>
      </c>
      <c r="BL76" s="81" t="str">
        <f t="shared" si="108"/>
        <v/>
      </c>
      <c r="BM76" s="81" t="str">
        <f t="shared" si="108"/>
        <v/>
      </c>
      <c r="BN76" s="81" t="str">
        <f t="shared" si="108"/>
        <v/>
      </c>
      <c r="BO76" s="81" t="str">
        <f t="shared" si="108"/>
        <v/>
      </c>
      <c r="BP76" s="81" t="str">
        <f t="shared" si="108"/>
        <v/>
      </c>
      <c r="BQ76" s="82" t="str">
        <f t="shared" si="108"/>
        <v/>
      </c>
      <c r="BR76" s="11" t="s">
        <v>0</v>
      </c>
    </row>
    <row r="77" spans="1:70" ht="15.75" hidden="1" customHeight="1" outlineLevel="1">
      <c r="A77" s="320"/>
      <c r="B77" s="83"/>
      <c r="C77" s="141" t="s">
        <v>644</v>
      </c>
      <c r="D77" s="85"/>
      <c r="E77" s="35"/>
      <c r="F77" s="35"/>
      <c r="G77" s="35" t="s">
        <v>647</v>
      </c>
      <c r="H77" s="35"/>
      <c r="I77" s="38"/>
      <c r="J77" s="86" t="s">
        <v>630</v>
      </c>
      <c r="K77" s="140" t="s">
        <v>631</v>
      </c>
      <c r="L77" s="249" t="s">
        <v>586</v>
      </c>
      <c r="M77" s="32"/>
      <c r="N77" s="22"/>
      <c r="O77" s="32">
        <f t="shared" si="100"/>
        <v>1</v>
      </c>
      <c r="P77" s="53">
        <v>45519</v>
      </c>
      <c r="Q77" s="53">
        <f t="shared" si="104"/>
        <v>45519</v>
      </c>
      <c r="R77" s="22"/>
      <c r="S77" s="32">
        <v>1</v>
      </c>
      <c r="T77" s="53">
        <f>U74+5</f>
        <v>45539</v>
      </c>
      <c r="U77" s="53">
        <f t="shared" si="106"/>
        <v>45539</v>
      </c>
      <c r="V77" s="22"/>
      <c r="W77" s="32">
        <f t="shared" si="101"/>
        <v>1</v>
      </c>
      <c r="X77" s="53">
        <v>45544</v>
      </c>
      <c r="Y77" s="53">
        <f t="shared" si="107"/>
        <v>45544</v>
      </c>
      <c r="Z77" s="24"/>
      <c r="AA77" s="40"/>
      <c r="AB77" s="24"/>
      <c r="AC77" s="46"/>
      <c r="AD77" s="40" t="s">
        <v>633</v>
      </c>
      <c r="AE77" s="40"/>
      <c r="AF77" s="41"/>
      <c r="AG77" s="41"/>
      <c r="AH77" s="28"/>
      <c r="AI77" s="291" t="str">
        <f t="shared" ref="AI77:BQ77" si="109">IFERROR(IF(AND($T77&gt;=(EOMONTH(AI$8,-1)+1),$U77&lt;AJ$8,$I77="M"),"u",""),"")</f>
        <v/>
      </c>
      <c r="AJ77" s="81" t="str">
        <f t="shared" si="109"/>
        <v/>
      </c>
      <c r="AK77" s="81" t="str">
        <f t="shared" si="109"/>
        <v/>
      </c>
      <c r="AL77" s="81" t="str">
        <f t="shared" si="109"/>
        <v/>
      </c>
      <c r="AM77" s="81" t="str">
        <f t="shared" si="109"/>
        <v/>
      </c>
      <c r="AN77" s="81" t="str">
        <f t="shared" si="109"/>
        <v/>
      </c>
      <c r="AO77" s="81" t="str">
        <f t="shared" si="109"/>
        <v/>
      </c>
      <c r="AP77" s="81" t="str">
        <f t="shared" si="109"/>
        <v/>
      </c>
      <c r="AQ77" s="81" t="str">
        <f t="shared" si="109"/>
        <v/>
      </c>
      <c r="AR77" s="81" t="str">
        <f t="shared" si="109"/>
        <v/>
      </c>
      <c r="AS77" s="81" t="str">
        <f t="shared" si="109"/>
        <v/>
      </c>
      <c r="AT77" s="81" t="str">
        <f t="shared" si="109"/>
        <v/>
      </c>
      <c r="AU77" s="81" t="str">
        <f t="shared" si="109"/>
        <v/>
      </c>
      <c r="AV77" s="81" t="str">
        <f t="shared" si="109"/>
        <v/>
      </c>
      <c r="AW77" s="81" t="str">
        <f t="shared" si="109"/>
        <v/>
      </c>
      <c r="AX77" s="81" t="str">
        <f t="shared" si="109"/>
        <v/>
      </c>
      <c r="AY77" s="81" t="str">
        <f t="shared" si="109"/>
        <v/>
      </c>
      <c r="AZ77" s="81" t="str">
        <f t="shared" si="109"/>
        <v/>
      </c>
      <c r="BA77" s="81" t="str">
        <f t="shared" si="109"/>
        <v/>
      </c>
      <c r="BB77" s="81" t="str">
        <f t="shared" si="109"/>
        <v/>
      </c>
      <c r="BC77" s="81" t="str">
        <f t="shared" si="109"/>
        <v/>
      </c>
      <c r="BD77" s="81" t="str">
        <f t="shared" si="109"/>
        <v/>
      </c>
      <c r="BE77" s="81" t="str">
        <f t="shared" si="109"/>
        <v/>
      </c>
      <c r="BF77" s="81" t="str">
        <f t="shared" si="109"/>
        <v/>
      </c>
      <c r="BG77" s="81" t="str">
        <f t="shared" si="109"/>
        <v/>
      </c>
      <c r="BH77" s="81" t="str">
        <f t="shared" si="109"/>
        <v/>
      </c>
      <c r="BI77" s="81" t="str">
        <f t="shared" si="109"/>
        <v/>
      </c>
      <c r="BJ77" s="81" t="str">
        <f t="shared" si="109"/>
        <v/>
      </c>
      <c r="BK77" s="81" t="str">
        <f t="shared" si="109"/>
        <v/>
      </c>
      <c r="BL77" s="81" t="str">
        <f t="shared" si="109"/>
        <v/>
      </c>
      <c r="BM77" s="81" t="str">
        <f t="shared" si="109"/>
        <v/>
      </c>
      <c r="BN77" s="81" t="str">
        <f t="shared" si="109"/>
        <v/>
      </c>
      <c r="BO77" s="81" t="str">
        <f t="shared" si="109"/>
        <v/>
      </c>
      <c r="BP77" s="81" t="str">
        <f t="shared" si="109"/>
        <v/>
      </c>
      <c r="BQ77" s="82" t="str">
        <f t="shared" si="109"/>
        <v/>
      </c>
      <c r="BR77" s="11" t="s">
        <v>0</v>
      </c>
    </row>
    <row r="78" spans="1:70" ht="15.75" hidden="1" customHeight="1" outlineLevel="1">
      <c r="A78" s="320"/>
      <c r="B78" s="83"/>
      <c r="C78" s="141" t="s">
        <v>648</v>
      </c>
      <c r="D78" s="85"/>
      <c r="E78" s="35"/>
      <c r="F78" s="35"/>
      <c r="G78" s="35" t="s">
        <v>649</v>
      </c>
      <c r="H78" s="35"/>
      <c r="I78" s="38"/>
      <c r="J78" s="86" t="s">
        <v>630</v>
      </c>
      <c r="K78" s="140" t="s">
        <v>631</v>
      </c>
      <c r="L78" s="249" t="s">
        <v>586</v>
      </c>
      <c r="M78" s="32"/>
      <c r="N78" s="22"/>
      <c r="O78" s="32">
        <f t="shared" si="100"/>
        <v>1</v>
      </c>
      <c r="P78" s="53">
        <v>45519</v>
      </c>
      <c r="Q78" s="53">
        <f t="shared" si="104"/>
        <v>45519</v>
      </c>
      <c r="R78" s="22"/>
      <c r="S78" s="32">
        <v>1</v>
      </c>
      <c r="T78" s="53">
        <f>T77+7</f>
        <v>45546</v>
      </c>
      <c r="U78" s="53">
        <f t="shared" si="106"/>
        <v>45546</v>
      </c>
      <c r="V78" s="22"/>
      <c r="W78" s="32">
        <f t="shared" si="101"/>
        <v>1</v>
      </c>
      <c r="X78" s="53">
        <v>45573</v>
      </c>
      <c r="Y78" s="53">
        <f t="shared" si="107"/>
        <v>45573</v>
      </c>
      <c r="Z78" s="24"/>
      <c r="AA78" s="40"/>
      <c r="AB78" s="24"/>
      <c r="AC78" s="46"/>
      <c r="AD78" s="40" t="s">
        <v>633</v>
      </c>
      <c r="AE78" s="40"/>
      <c r="AF78" s="41"/>
      <c r="AG78" s="41" t="s">
        <v>650</v>
      </c>
      <c r="AH78" s="28"/>
      <c r="AI78" s="291" t="str">
        <f t="shared" ref="AI78:BQ78" si="110">IFERROR(IF(AND($T78&gt;=(EOMONTH(AI$8,-1)+1),$U78&lt;AJ$8,$I78="M"),"u",""),"")</f>
        <v/>
      </c>
      <c r="AJ78" s="81" t="str">
        <f t="shared" si="110"/>
        <v/>
      </c>
      <c r="AK78" s="81" t="str">
        <f t="shared" si="110"/>
        <v/>
      </c>
      <c r="AL78" s="81" t="str">
        <f t="shared" si="110"/>
        <v/>
      </c>
      <c r="AM78" s="81" t="str">
        <f t="shared" si="110"/>
        <v/>
      </c>
      <c r="AN78" s="81" t="str">
        <f t="shared" si="110"/>
        <v/>
      </c>
      <c r="AO78" s="81" t="str">
        <f t="shared" si="110"/>
        <v/>
      </c>
      <c r="AP78" s="81" t="str">
        <f t="shared" si="110"/>
        <v/>
      </c>
      <c r="AQ78" s="81" t="str">
        <f t="shared" si="110"/>
        <v/>
      </c>
      <c r="AR78" s="81" t="str">
        <f t="shared" si="110"/>
        <v/>
      </c>
      <c r="AS78" s="81" t="str">
        <f t="shared" si="110"/>
        <v/>
      </c>
      <c r="AT78" s="81" t="str">
        <f t="shared" si="110"/>
        <v/>
      </c>
      <c r="AU78" s="81" t="str">
        <f t="shared" si="110"/>
        <v/>
      </c>
      <c r="AV78" s="81" t="str">
        <f t="shared" si="110"/>
        <v/>
      </c>
      <c r="AW78" s="81" t="str">
        <f t="shared" si="110"/>
        <v/>
      </c>
      <c r="AX78" s="81" t="str">
        <f t="shared" si="110"/>
        <v/>
      </c>
      <c r="AY78" s="81" t="str">
        <f t="shared" si="110"/>
        <v/>
      </c>
      <c r="AZ78" s="81" t="str">
        <f t="shared" si="110"/>
        <v/>
      </c>
      <c r="BA78" s="81" t="str">
        <f t="shared" si="110"/>
        <v/>
      </c>
      <c r="BB78" s="81" t="str">
        <f t="shared" si="110"/>
        <v/>
      </c>
      <c r="BC78" s="81" t="str">
        <f t="shared" si="110"/>
        <v/>
      </c>
      <c r="BD78" s="81" t="str">
        <f t="shared" si="110"/>
        <v/>
      </c>
      <c r="BE78" s="81" t="str">
        <f t="shared" si="110"/>
        <v/>
      </c>
      <c r="BF78" s="81" t="str">
        <f t="shared" si="110"/>
        <v/>
      </c>
      <c r="BG78" s="81" t="str">
        <f t="shared" si="110"/>
        <v/>
      </c>
      <c r="BH78" s="81" t="str">
        <f t="shared" si="110"/>
        <v/>
      </c>
      <c r="BI78" s="81" t="str">
        <f t="shared" si="110"/>
        <v/>
      </c>
      <c r="BJ78" s="81" t="str">
        <f t="shared" si="110"/>
        <v/>
      </c>
      <c r="BK78" s="81" t="str">
        <f t="shared" si="110"/>
        <v/>
      </c>
      <c r="BL78" s="81" t="str">
        <f t="shared" si="110"/>
        <v/>
      </c>
      <c r="BM78" s="81" t="str">
        <f t="shared" si="110"/>
        <v/>
      </c>
      <c r="BN78" s="81" t="str">
        <f t="shared" si="110"/>
        <v/>
      </c>
      <c r="BO78" s="81" t="str">
        <f t="shared" si="110"/>
        <v/>
      </c>
      <c r="BP78" s="81" t="str">
        <f t="shared" si="110"/>
        <v/>
      </c>
      <c r="BQ78" s="82" t="str">
        <f t="shared" si="110"/>
        <v/>
      </c>
      <c r="BR78" s="11" t="s">
        <v>0</v>
      </c>
    </row>
    <row r="79" spans="1:70" ht="15.75" hidden="1" customHeight="1" outlineLevel="1">
      <c r="A79" s="320"/>
      <c r="B79" s="83"/>
      <c r="C79" s="141" t="s">
        <v>651</v>
      </c>
      <c r="D79" s="85"/>
      <c r="E79" s="35"/>
      <c r="F79" s="35"/>
      <c r="G79" s="35" t="s">
        <v>652</v>
      </c>
      <c r="H79" s="35"/>
      <c r="I79" s="38"/>
      <c r="J79" s="86" t="s">
        <v>630</v>
      </c>
      <c r="K79" s="140" t="s">
        <v>631</v>
      </c>
      <c r="L79" s="249" t="s">
        <v>586</v>
      </c>
      <c r="M79" s="32"/>
      <c r="N79" s="22"/>
      <c r="O79" s="32">
        <f t="shared" si="100"/>
        <v>1</v>
      </c>
      <c r="P79" s="53">
        <v>45519</v>
      </c>
      <c r="Q79" s="53">
        <f t="shared" si="104"/>
        <v>45519</v>
      </c>
      <c r="R79" s="22"/>
      <c r="S79" s="32">
        <v>1</v>
      </c>
      <c r="T79" s="53">
        <f t="shared" ref="T79:U79" si="111">T77+4</f>
        <v>45543</v>
      </c>
      <c r="U79" s="53">
        <f t="shared" si="111"/>
        <v>45543</v>
      </c>
      <c r="V79" s="22"/>
      <c r="W79" s="32">
        <f t="shared" si="101"/>
        <v>1</v>
      </c>
      <c r="X79" s="53">
        <v>45587</v>
      </c>
      <c r="Y79" s="53">
        <f t="shared" si="107"/>
        <v>45587</v>
      </c>
      <c r="Z79" s="24"/>
      <c r="AA79" s="40"/>
      <c r="AB79" s="24"/>
      <c r="AC79" s="46"/>
      <c r="AD79" s="40" t="s">
        <v>633</v>
      </c>
      <c r="AE79" s="40"/>
      <c r="AF79" s="41"/>
      <c r="AG79" s="41" t="s">
        <v>653</v>
      </c>
      <c r="AH79" s="28"/>
      <c r="AI79" s="291" t="str">
        <f t="shared" ref="AI79:BQ79" si="112">IFERROR(IF(AND($T79&gt;=(EOMONTH(AI$8,-1)+1),$U79&lt;AJ$8,$I79="M"),"u",""),"")</f>
        <v/>
      </c>
      <c r="AJ79" s="81" t="str">
        <f t="shared" si="112"/>
        <v/>
      </c>
      <c r="AK79" s="81" t="str">
        <f t="shared" si="112"/>
        <v/>
      </c>
      <c r="AL79" s="81" t="str">
        <f t="shared" si="112"/>
        <v/>
      </c>
      <c r="AM79" s="81" t="str">
        <f t="shared" si="112"/>
        <v/>
      </c>
      <c r="AN79" s="81" t="str">
        <f t="shared" si="112"/>
        <v/>
      </c>
      <c r="AO79" s="81" t="str">
        <f t="shared" si="112"/>
        <v/>
      </c>
      <c r="AP79" s="81" t="str">
        <f t="shared" si="112"/>
        <v/>
      </c>
      <c r="AQ79" s="81" t="str">
        <f t="shared" si="112"/>
        <v/>
      </c>
      <c r="AR79" s="81" t="str">
        <f t="shared" si="112"/>
        <v/>
      </c>
      <c r="AS79" s="81" t="str">
        <f t="shared" si="112"/>
        <v/>
      </c>
      <c r="AT79" s="81" t="str">
        <f t="shared" si="112"/>
        <v/>
      </c>
      <c r="AU79" s="81" t="str">
        <f t="shared" si="112"/>
        <v/>
      </c>
      <c r="AV79" s="81" t="str">
        <f t="shared" si="112"/>
        <v/>
      </c>
      <c r="AW79" s="81" t="str">
        <f t="shared" si="112"/>
        <v/>
      </c>
      <c r="AX79" s="81" t="str">
        <f t="shared" si="112"/>
        <v/>
      </c>
      <c r="AY79" s="81" t="str">
        <f t="shared" si="112"/>
        <v/>
      </c>
      <c r="AZ79" s="81" t="str">
        <f t="shared" si="112"/>
        <v/>
      </c>
      <c r="BA79" s="81" t="str">
        <f t="shared" si="112"/>
        <v/>
      </c>
      <c r="BB79" s="81" t="str">
        <f t="shared" si="112"/>
        <v/>
      </c>
      <c r="BC79" s="81" t="str">
        <f t="shared" si="112"/>
        <v/>
      </c>
      <c r="BD79" s="81" t="str">
        <f t="shared" si="112"/>
        <v/>
      </c>
      <c r="BE79" s="81" t="str">
        <f t="shared" si="112"/>
        <v/>
      </c>
      <c r="BF79" s="81" t="str">
        <f t="shared" si="112"/>
        <v/>
      </c>
      <c r="BG79" s="81" t="str">
        <f t="shared" si="112"/>
        <v/>
      </c>
      <c r="BH79" s="81" t="str">
        <f t="shared" si="112"/>
        <v/>
      </c>
      <c r="BI79" s="81" t="str">
        <f t="shared" si="112"/>
        <v/>
      </c>
      <c r="BJ79" s="81" t="str">
        <f t="shared" si="112"/>
        <v/>
      </c>
      <c r="BK79" s="81" t="str">
        <f t="shared" si="112"/>
        <v/>
      </c>
      <c r="BL79" s="81" t="str">
        <f t="shared" si="112"/>
        <v/>
      </c>
      <c r="BM79" s="81" t="str">
        <f t="shared" si="112"/>
        <v/>
      </c>
      <c r="BN79" s="81" t="str">
        <f t="shared" si="112"/>
        <v/>
      </c>
      <c r="BO79" s="81" t="str">
        <f t="shared" si="112"/>
        <v/>
      </c>
      <c r="BP79" s="81" t="str">
        <f t="shared" si="112"/>
        <v/>
      </c>
      <c r="BQ79" s="82" t="str">
        <f t="shared" si="112"/>
        <v/>
      </c>
      <c r="BR79" s="11" t="s">
        <v>0</v>
      </c>
    </row>
    <row r="80" spans="1:70" ht="15.75" hidden="1" customHeight="1" outlineLevel="1">
      <c r="A80" s="320"/>
      <c r="B80" s="83"/>
      <c r="C80" s="141" t="s">
        <v>654</v>
      </c>
      <c r="D80" s="85"/>
      <c r="E80" s="35"/>
      <c r="F80" s="35"/>
      <c r="G80" s="35" t="s">
        <v>655</v>
      </c>
      <c r="H80" s="35"/>
      <c r="I80" s="38"/>
      <c r="J80" s="86" t="s">
        <v>630</v>
      </c>
      <c r="K80" s="140" t="s">
        <v>631</v>
      </c>
      <c r="L80" s="249" t="s">
        <v>586</v>
      </c>
      <c r="M80" s="32"/>
      <c r="N80" s="22"/>
      <c r="O80" s="32">
        <f t="shared" si="100"/>
        <v>1</v>
      </c>
      <c r="P80" s="53">
        <v>45519</v>
      </c>
      <c r="Q80" s="53">
        <f t="shared" si="104"/>
        <v>45519</v>
      </c>
      <c r="R80" s="22"/>
      <c r="S80" s="32">
        <v>1</v>
      </c>
      <c r="T80" s="53">
        <f t="shared" ref="T80:U80" si="113">T78+4</f>
        <v>45550</v>
      </c>
      <c r="U80" s="53">
        <f t="shared" si="113"/>
        <v>45550</v>
      </c>
      <c r="V80" s="22"/>
      <c r="W80" s="32">
        <f t="shared" si="101"/>
        <v>1</v>
      </c>
      <c r="X80" s="53">
        <v>45588</v>
      </c>
      <c r="Y80" s="53">
        <f t="shared" si="107"/>
        <v>45588</v>
      </c>
      <c r="Z80" s="24"/>
      <c r="AA80" s="40"/>
      <c r="AB80" s="24"/>
      <c r="AC80" s="46"/>
      <c r="AD80" s="40" t="s">
        <v>633</v>
      </c>
      <c r="AE80" s="40"/>
      <c r="AF80" s="41"/>
      <c r="AG80" s="41"/>
      <c r="AH80" s="28"/>
      <c r="AI80" s="291" t="str">
        <f t="shared" ref="AI80:BQ80" si="114">IFERROR(IF(AND($T80&gt;=(EOMONTH(AI$8,-1)+1),$U80&lt;AJ$8,$I80="M"),"u",""),"")</f>
        <v/>
      </c>
      <c r="AJ80" s="81" t="str">
        <f t="shared" si="114"/>
        <v/>
      </c>
      <c r="AK80" s="81" t="str">
        <f t="shared" si="114"/>
        <v/>
      </c>
      <c r="AL80" s="81" t="str">
        <f t="shared" si="114"/>
        <v/>
      </c>
      <c r="AM80" s="81" t="str">
        <f t="shared" si="114"/>
        <v/>
      </c>
      <c r="AN80" s="81" t="str">
        <f t="shared" si="114"/>
        <v/>
      </c>
      <c r="AO80" s="81" t="str">
        <f t="shared" si="114"/>
        <v/>
      </c>
      <c r="AP80" s="81" t="str">
        <f t="shared" si="114"/>
        <v/>
      </c>
      <c r="AQ80" s="81" t="str">
        <f t="shared" si="114"/>
        <v/>
      </c>
      <c r="AR80" s="81" t="str">
        <f t="shared" si="114"/>
        <v/>
      </c>
      <c r="AS80" s="81" t="str">
        <f t="shared" si="114"/>
        <v/>
      </c>
      <c r="AT80" s="81" t="str">
        <f t="shared" si="114"/>
        <v/>
      </c>
      <c r="AU80" s="81" t="str">
        <f t="shared" si="114"/>
        <v/>
      </c>
      <c r="AV80" s="81" t="str">
        <f t="shared" si="114"/>
        <v/>
      </c>
      <c r="AW80" s="81" t="str">
        <f t="shared" si="114"/>
        <v/>
      </c>
      <c r="AX80" s="81" t="str">
        <f t="shared" si="114"/>
        <v/>
      </c>
      <c r="AY80" s="81" t="str">
        <f t="shared" si="114"/>
        <v/>
      </c>
      <c r="AZ80" s="81" t="str">
        <f t="shared" si="114"/>
        <v/>
      </c>
      <c r="BA80" s="81" t="str">
        <f t="shared" si="114"/>
        <v/>
      </c>
      <c r="BB80" s="81" t="str">
        <f t="shared" si="114"/>
        <v/>
      </c>
      <c r="BC80" s="81" t="str">
        <f t="shared" si="114"/>
        <v/>
      </c>
      <c r="BD80" s="81" t="str">
        <f t="shared" si="114"/>
        <v/>
      </c>
      <c r="BE80" s="81" t="str">
        <f t="shared" si="114"/>
        <v/>
      </c>
      <c r="BF80" s="81" t="str">
        <f t="shared" si="114"/>
        <v/>
      </c>
      <c r="BG80" s="81" t="str">
        <f t="shared" si="114"/>
        <v/>
      </c>
      <c r="BH80" s="81" t="str">
        <f t="shared" si="114"/>
        <v/>
      </c>
      <c r="BI80" s="81" t="str">
        <f t="shared" si="114"/>
        <v/>
      </c>
      <c r="BJ80" s="81" t="str">
        <f t="shared" si="114"/>
        <v/>
      </c>
      <c r="BK80" s="81" t="str">
        <f t="shared" si="114"/>
        <v/>
      </c>
      <c r="BL80" s="81" t="str">
        <f t="shared" si="114"/>
        <v/>
      </c>
      <c r="BM80" s="81" t="str">
        <f t="shared" si="114"/>
        <v/>
      </c>
      <c r="BN80" s="81" t="str">
        <f t="shared" si="114"/>
        <v/>
      </c>
      <c r="BO80" s="81" t="str">
        <f t="shared" si="114"/>
        <v/>
      </c>
      <c r="BP80" s="81" t="str">
        <f t="shared" si="114"/>
        <v/>
      </c>
      <c r="BQ80" s="82" t="str">
        <f t="shared" si="114"/>
        <v/>
      </c>
      <c r="BR80" s="11" t="s">
        <v>0</v>
      </c>
    </row>
    <row r="81" spans="1:70" ht="15.75" customHeight="1">
      <c r="A81" s="340"/>
      <c r="B81" s="115">
        <v>13.4</v>
      </c>
      <c r="C81" s="116"/>
      <c r="D81" s="117"/>
      <c r="E81" s="118"/>
      <c r="F81" s="118" t="s">
        <v>656</v>
      </c>
      <c r="G81" s="118"/>
      <c r="H81" s="118"/>
      <c r="I81" s="119"/>
      <c r="J81" s="120" t="s">
        <v>630</v>
      </c>
      <c r="K81" s="142" t="s">
        <v>631</v>
      </c>
      <c r="L81" s="325" t="s">
        <v>586</v>
      </c>
      <c r="M81" s="122"/>
      <c r="N81" s="123"/>
      <c r="O81" s="122">
        <f t="shared" si="100"/>
        <v>1</v>
      </c>
      <c r="P81" s="327">
        <v>45468</v>
      </c>
      <c r="Q81" s="327">
        <f t="shared" si="104"/>
        <v>45468</v>
      </c>
      <c r="R81" s="123"/>
      <c r="S81" s="122">
        <f t="shared" ref="S81:S82" si="115">IF(T81=0,"",U81-T81)</f>
        <v>0</v>
      </c>
      <c r="T81" s="327">
        <v>45468</v>
      </c>
      <c r="U81" s="327">
        <v>45468</v>
      </c>
      <c r="V81" s="123"/>
      <c r="W81" s="122">
        <f t="shared" si="101"/>
        <v>1</v>
      </c>
      <c r="X81" s="327">
        <v>45468</v>
      </c>
      <c r="Y81" s="327">
        <v>45468</v>
      </c>
      <c r="Z81" s="125"/>
      <c r="AA81" s="126"/>
      <c r="AB81" s="125"/>
      <c r="AC81" s="127"/>
      <c r="AD81" s="126" t="s">
        <v>633</v>
      </c>
      <c r="AE81" s="126"/>
      <c r="AF81" s="128"/>
      <c r="AG81" s="128" t="s">
        <v>493</v>
      </c>
      <c r="AH81" s="129"/>
      <c r="AI81" s="326" t="str">
        <f t="shared" ref="AI81:BQ81" si="116">IFERROR(IF(AND($T81&gt;=(EOMONTH(AI$8,-1)+1),$U81&lt;AJ$8,$I81="M"),"u",""),"")</f>
        <v/>
      </c>
      <c r="AJ81" s="130" t="str">
        <f t="shared" si="116"/>
        <v/>
      </c>
      <c r="AK81" s="130" t="str">
        <f t="shared" si="116"/>
        <v/>
      </c>
      <c r="AL81" s="130" t="str">
        <f t="shared" si="116"/>
        <v/>
      </c>
      <c r="AM81" s="130" t="str">
        <f t="shared" si="116"/>
        <v/>
      </c>
      <c r="AN81" s="130" t="str">
        <f t="shared" si="116"/>
        <v/>
      </c>
      <c r="AO81" s="130" t="str">
        <f t="shared" si="116"/>
        <v/>
      </c>
      <c r="AP81" s="130" t="str">
        <f t="shared" si="116"/>
        <v/>
      </c>
      <c r="AQ81" s="130" t="str">
        <f t="shared" si="116"/>
        <v/>
      </c>
      <c r="AR81" s="130" t="str">
        <f t="shared" si="116"/>
        <v/>
      </c>
      <c r="AS81" s="130" t="str">
        <f t="shared" si="116"/>
        <v/>
      </c>
      <c r="AT81" s="130" t="str">
        <f t="shared" si="116"/>
        <v/>
      </c>
      <c r="AU81" s="130" t="str">
        <f t="shared" si="116"/>
        <v/>
      </c>
      <c r="AV81" s="130" t="str">
        <f t="shared" si="116"/>
        <v/>
      </c>
      <c r="AW81" s="130" t="str">
        <f t="shared" si="116"/>
        <v/>
      </c>
      <c r="AX81" s="130" t="str">
        <f t="shared" si="116"/>
        <v/>
      </c>
      <c r="AY81" s="130" t="str">
        <f t="shared" si="116"/>
        <v/>
      </c>
      <c r="AZ81" s="130" t="str">
        <f t="shared" si="116"/>
        <v/>
      </c>
      <c r="BA81" s="130" t="str">
        <f t="shared" si="116"/>
        <v/>
      </c>
      <c r="BB81" s="130" t="str">
        <f t="shared" si="116"/>
        <v/>
      </c>
      <c r="BC81" s="130" t="str">
        <f t="shared" si="116"/>
        <v/>
      </c>
      <c r="BD81" s="130" t="str">
        <f t="shared" si="116"/>
        <v/>
      </c>
      <c r="BE81" s="130" t="str">
        <f t="shared" si="116"/>
        <v/>
      </c>
      <c r="BF81" s="130" t="str">
        <f t="shared" si="116"/>
        <v/>
      </c>
      <c r="BG81" s="130" t="str">
        <f t="shared" si="116"/>
        <v/>
      </c>
      <c r="BH81" s="130" t="str">
        <f t="shared" si="116"/>
        <v/>
      </c>
      <c r="BI81" s="130" t="str">
        <f t="shared" si="116"/>
        <v/>
      </c>
      <c r="BJ81" s="130" t="str">
        <f t="shared" si="116"/>
        <v/>
      </c>
      <c r="BK81" s="130" t="str">
        <f t="shared" si="116"/>
        <v/>
      </c>
      <c r="BL81" s="130" t="str">
        <f t="shared" si="116"/>
        <v/>
      </c>
      <c r="BM81" s="130" t="str">
        <f t="shared" si="116"/>
        <v/>
      </c>
      <c r="BN81" s="130" t="str">
        <f t="shared" si="116"/>
        <v/>
      </c>
      <c r="BO81" s="130" t="str">
        <f t="shared" si="116"/>
        <v/>
      </c>
      <c r="BP81" s="130" t="str">
        <f t="shared" si="116"/>
        <v/>
      </c>
      <c r="BQ81" s="131" t="str">
        <f t="shared" si="116"/>
        <v/>
      </c>
      <c r="BR81" s="132" t="s">
        <v>0</v>
      </c>
    </row>
    <row r="82" spans="1:70" ht="15.75" customHeight="1">
      <c r="A82" s="340"/>
      <c r="B82" s="115">
        <v>13.5</v>
      </c>
      <c r="C82" s="116"/>
      <c r="D82" s="117"/>
      <c r="E82" s="118"/>
      <c r="F82" s="118" t="s">
        <v>657</v>
      </c>
      <c r="G82" s="118"/>
      <c r="H82" s="118"/>
      <c r="I82" s="119"/>
      <c r="J82" s="120" t="s">
        <v>630</v>
      </c>
      <c r="K82" s="142" t="s">
        <v>631</v>
      </c>
      <c r="L82" s="325" t="s">
        <v>586</v>
      </c>
      <c r="M82" s="122"/>
      <c r="N82" s="123"/>
      <c r="O82" s="122">
        <f t="shared" si="100"/>
        <v>1</v>
      </c>
      <c r="P82" s="327">
        <v>45503</v>
      </c>
      <c r="Q82" s="327">
        <f t="shared" si="104"/>
        <v>45503</v>
      </c>
      <c r="R82" s="123"/>
      <c r="S82" s="122">
        <f t="shared" si="115"/>
        <v>0</v>
      </c>
      <c r="T82" s="327">
        <v>45523</v>
      </c>
      <c r="U82" s="327">
        <v>45523</v>
      </c>
      <c r="V82" s="123"/>
      <c r="W82" s="122">
        <f t="shared" ca="1" si="101"/>
        <v>362</v>
      </c>
      <c r="X82" s="327">
        <v>45523</v>
      </c>
      <c r="Y82" s="327">
        <f ca="1">TODAY()</f>
        <v>46028</v>
      </c>
      <c r="Z82" s="125"/>
      <c r="AA82" s="126"/>
      <c r="AB82" s="125"/>
      <c r="AC82" s="127"/>
      <c r="AD82" s="126" t="s">
        <v>633</v>
      </c>
      <c r="AE82" s="126"/>
      <c r="AF82" s="128"/>
      <c r="AG82" s="128" t="s">
        <v>658</v>
      </c>
      <c r="AH82" s="129"/>
      <c r="AI82" s="326" t="str">
        <f t="shared" ref="AI82:BQ82" si="117">IFERROR(IF(AND($T82&gt;=(EOMONTH(AI$8,-1)+1),$U82&lt;AJ$8,$I82="M"),"u",""),"")</f>
        <v/>
      </c>
      <c r="AJ82" s="130" t="str">
        <f t="shared" si="117"/>
        <v/>
      </c>
      <c r="AK82" s="130" t="str">
        <f t="shared" si="117"/>
        <v/>
      </c>
      <c r="AL82" s="130" t="str">
        <f t="shared" si="117"/>
        <v/>
      </c>
      <c r="AM82" s="130" t="str">
        <f t="shared" si="117"/>
        <v/>
      </c>
      <c r="AN82" s="130" t="str">
        <f t="shared" si="117"/>
        <v/>
      </c>
      <c r="AO82" s="130" t="str">
        <f t="shared" si="117"/>
        <v/>
      </c>
      <c r="AP82" s="130" t="str">
        <f t="shared" si="117"/>
        <v/>
      </c>
      <c r="AQ82" s="130" t="str">
        <f t="shared" si="117"/>
        <v/>
      </c>
      <c r="AR82" s="130" t="str">
        <f t="shared" si="117"/>
        <v/>
      </c>
      <c r="AS82" s="130" t="str">
        <f t="shared" si="117"/>
        <v/>
      </c>
      <c r="AT82" s="130" t="str">
        <f t="shared" si="117"/>
        <v/>
      </c>
      <c r="AU82" s="130" t="str">
        <f t="shared" si="117"/>
        <v/>
      </c>
      <c r="AV82" s="130" t="str">
        <f t="shared" si="117"/>
        <v/>
      </c>
      <c r="AW82" s="130" t="str">
        <f t="shared" si="117"/>
        <v/>
      </c>
      <c r="AX82" s="130" t="str">
        <f t="shared" si="117"/>
        <v/>
      </c>
      <c r="AY82" s="130" t="str">
        <f t="shared" si="117"/>
        <v/>
      </c>
      <c r="AZ82" s="130" t="str">
        <f t="shared" si="117"/>
        <v/>
      </c>
      <c r="BA82" s="130" t="str">
        <f t="shared" si="117"/>
        <v/>
      </c>
      <c r="BB82" s="130" t="str">
        <f t="shared" si="117"/>
        <v/>
      </c>
      <c r="BC82" s="130" t="str">
        <f t="shared" si="117"/>
        <v/>
      </c>
      <c r="BD82" s="130" t="str">
        <f t="shared" si="117"/>
        <v/>
      </c>
      <c r="BE82" s="130" t="str">
        <f t="shared" si="117"/>
        <v/>
      </c>
      <c r="BF82" s="130" t="str">
        <f t="shared" si="117"/>
        <v/>
      </c>
      <c r="BG82" s="130" t="str">
        <f t="shared" si="117"/>
        <v/>
      </c>
      <c r="BH82" s="130" t="str">
        <f t="shared" si="117"/>
        <v/>
      </c>
      <c r="BI82" s="130" t="str">
        <f t="shared" si="117"/>
        <v/>
      </c>
      <c r="BJ82" s="130" t="str">
        <f t="shared" si="117"/>
        <v/>
      </c>
      <c r="BK82" s="130" t="str">
        <f t="shared" si="117"/>
        <v/>
      </c>
      <c r="BL82" s="130" t="str">
        <f t="shared" si="117"/>
        <v/>
      </c>
      <c r="BM82" s="130" t="str">
        <f t="shared" si="117"/>
        <v/>
      </c>
      <c r="BN82" s="130" t="str">
        <f t="shared" si="117"/>
        <v/>
      </c>
      <c r="BO82" s="130" t="str">
        <f t="shared" si="117"/>
        <v/>
      </c>
      <c r="BP82" s="130" t="str">
        <f t="shared" si="117"/>
        <v/>
      </c>
      <c r="BQ82" s="131" t="str">
        <f t="shared" si="117"/>
        <v/>
      </c>
      <c r="BR82" s="132" t="s">
        <v>0</v>
      </c>
    </row>
    <row r="83" spans="1:70" ht="22.5" customHeight="1">
      <c r="A83" s="285" t="s">
        <v>659</v>
      </c>
      <c r="B83" s="286"/>
      <c r="C83" s="287"/>
      <c r="D83" s="288" t="s">
        <v>660</v>
      </c>
      <c r="E83" s="211"/>
      <c r="F83" s="211"/>
      <c r="G83" s="211"/>
      <c r="H83" s="211"/>
      <c r="I83" s="212"/>
      <c r="J83" s="213"/>
      <c r="K83" s="289"/>
      <c r="L83" s="215"/>
      <c r="M83" s="214"/>
      <c r="N83" s="22"/>
      <c r="O83" s="214">
        <f t="shared" si="100"/>
        <v>118</v>
      </c>
      <c r="P83" s="216">
        <f>P84</f>
        <v>45371</v>
      </c>
      <c r="Q83" s="216">
        <f>Q104</f>
        <v>45534</v>
      </c>
      <c r="R83" s="22"/>
      <c r="S83" s="214"/>
      <c r="T83" s="216">
        <f>T84</f>
        <v>45370</v>
      </c>
      <c r="U83" s="216" t="e">
        <f>MAX(U105,U114,U133,U154,U159)</f>
        <v>#REF!</v>
      </c>
      <c r="V83" s="22"/>
      <c r="W83" s="214" t="e">
        <f t="shared" si="101"/>
        <v>#REF!</v>
      </c>
      <c r="X83" s="216">
        <f>X84</f>
        <v>45431</v>
      </c>
      <c r="Y83" s="216" t="e">
        <f>MAX(Y105,Y114,Y133,Y154,Y159)</f>
        <v>#REF!</v>
      </c>
      <c r="Z83" s="24"/>
      <c r="AA83" s="213"/>
      <c r="AB83" s="24"/>
      <c r="AC83" s="217" t="e">
        <f>AVERAGE(AC105,AC133,AC159)</f>
        <v>#DIV/0!</v>
      </c>
      <c r="AD83" s="213"/>
      <c r="AE83" s="213"/>
      <c r="AF83" s="218"/>
      <c r="AG83" s="218"/>
      <c r="AH83" s="28"/>
      <c r="AI83" s="291" t="str">
        <f t="shared" ref="AI83:BQ83" si="118">IFERROR(IF(AND($T83&gt;=(EOMONTH(AI$8,-1)+1),$U83&lt;AJ$8,$I83="M"),"u",""),"")</f>
        <v/>
      </c>
      <c r="AJ83" s="81" t="str">
        <f t="shared" si="118"/>
        <v/>
      </c>
      <c r="AK83" s="81" t="str">
        <f t="shared" si="118"/>
        <v/>
      </c>
      <c r="AL83" s="81" t="str">
        <f t="shared" si="118"/>
        <v/>
      </c>
      <c r="AM83" s="81" t="str">
        <f t="shared" si="118"/>
        <v/>
      </c>
      <c r="AN83" s="81" t="str">
        <f t="shared" si="118"/>
        <v/>
      </c>
      <c r="AO83" s="81" t="str">
        <f t="shared" si="118"/>
        <v/>
      </c>
      <c r="AP83" s="81" t="str">
        <f t="shared" si="118"/>
        <v/>
      </c>
      <c r="AQ83" s="81" t="str">
        <f t="shared" si="118"/>
        <v/>
      </c>
      <c r="AR83" s="81" t="str">
        <f t="shared" si="118"/>
        <v/>
      </c>
      <c r="AS83" s="81" t="str">
        <f t="shared" si="118"/>
        <v/>
      </c>
      <c r="AT83" s="81" t="str">
        <f t="shared" si="118"/>
        <v/>
      </c>
      <c r="AU83" s="81" t="str">
        <f t="shared" si="118"/>
        <v/>
      </c>
      <c r="AV83" s="81" t="str">
        <f t="shared" si="118"/>
        <v/>
      </c>
      <c r="AW83" s="81" t="str">
        <f t="shared" si="118"/>
        <v/>
      </c>
      <c r="AX83" s="81" t="str">
        <f t="shared" si="118"/>
        <v/>
      </c>
      <c r="AY83" s="81" t="str">
        <f t="shared" si="118"/>
        <v/>
      </c>
      <c r="AZ83" s="81" t="str">
        <f t="shared" si="118"/>
        <v/>
      </c>
      <c r="BA83" s="81" t="str">
        <f t="shared" si="118"/>
        <v/>
      </c>
      <c r="BB83" s="81" t="str">
        <f t="shared" si="118"/>
        <v/>
      </c>
      <c r="BC83" s="81" t="str">
        <f t="shared" si="118"/>
        <v/>
      </c>
      <c r="BD83" s="81" t="str">
        <f t="shared" si="118"/>
        <v/>
      </c>
      <c r="BE83" s="81" t="str">
        <f t="shared" si="118"/>
        <v/>
      </c>
      <c r="BF83" s="81" t="str">
        <f t="shared" si="118"/>
        <v/>
      </c>
      <c r="BG83" s="81" t="str">
        <f t="shared" si="118"/>
        <v/>
      </c>
      <c r="BH83" s="81" t="str">
        <f t="shared" si="118"/>
        <v/>
      </c>
      <c r="BI83" s="81" t="str">
        <f t="shared" si="118"/>
        <v/>
      </c>
      <c r="BJ83" s="81" t="str">
        <f t="shared" si="118"/>
        <v/>
      </c>
      <c r="BK83" s="81" t="str">
        <f t="shared" si="118"/>
        <v/>
      </c>
      <c r="BL83" s="81" t="str">
        <f t="shared" si="118"/>
        <v/>
      </c>
      <c r="BM83" s="81" t="str">
        <f t="shared" si="118"/>
        <v/>
      </c>
      <c r="BN83" s="81" t="str">
        <f t="shared" si="118"/>
        <v/>
      </c>
      <c r="BO83" s="81" t="str">
        <f t="shared" si="118"/>
        <v/>
      </c>
      <c r="BP83" s="81" t="str">
        <f t="shared" si="118"/>
        <v/>
      </c>
      <c r="BQ83" s="82" t="str">
        <f t="shared" si="118"/>
        <v/>
      </c>
      <c r="BR83" s="11" t="s">
        <v>0</v>
      </c>
    </row>
    <row r="84" spans="1:70" ht="19.5" customHeight="1" collapsed="1">
      <c r="A84" s="341">
        <v>14</v>
      </c>
      <c r="B84" s="342"/>
      <c r="C84" s="343"/>
      <c r="D84" s="344"/>
      <c r="E84" s="345" t="s">
        <v>661</v>
      </c>
      <c r="F84" s="345"/>
      <c r="G84" s="345"/>
      <c r="H84" s="345"/>
      <c r="I84" s="119"/>
      <c r="J84" s="346"/>
      <c r="K84" s="347"/>
      <c r="L84" s="348"/>
      <c r="M84" s="349"/>
      <c r="N84" s="123"/>
      <c r="O84" s="122" t="e">
        <f t="shared" si="100"/>
        <v>#REF!</v>
      </c>
      <c r="P84" s="350">
        <f>MIN(P88:P104)</f>
        <v>45371</v>
      </c>
      <c r="Q84" s="351" t="e">
        <f>MAX(Q88:Q108)</f>
        <v>#REF!</v>
      </c>
      <c r="R84" s="123"/>
      <c r="S84" s="122" t="e">
        <f t="shared" ref="S84:S85" si="119">NETWORKDAYS(T84,U84)</f>
        <v>#REF!</v>
      </c>
      <c r="T84" s="350">
        <f>MIN(T85:T104)</f>
        <v>45370</v>
      </c>
      <c r="U84" s="351" t="e">
        <f>MAX(U88:U108)</f>
        <v>#REF!</v>
      </c>
      <c r="V84" s="123"/>
      <c r="W84" s="122">
        <f t="shared" si="101"/>
        <v>205</v>
      </c>
      <c r="X84" s="350">
        <f>MIN(X88:X104)</f>
        <v>45431</v>
      </c>
      <c r="Y84" s="351">
        <f>MAX(Y88:Y108)</f>
        <v>45717</v>
      </c>
      <c r="Z84" s="125"/>
      <c r="AA84" s="352"/>
      <c r="AB84" s="125"/>
      <c r="AC84" s="353" t="e">
        <f>AVERAGE(AC88:AC113)</f>
        <v>#DIV/0!</v>
      </c>
      <c r="AD84" s="352"/>
      <c r="AE84" s="352"/>
      <c r="AF84" s="354"/>
      <c r="AG84" s="354"/>
      <c r="AH84" s="129"/>
      <c r="AI84" s="355" t="str">
        <f t="shared" ref="AI84:BQ84" si="120">IFERROR(IF(AND($T84&gt;=(EOMONTH(AI$8,-1)+1),$U84&lt;AJ$8,$I84="M"),"u",""),"")</f>
        <v/>
      </c>
      <c r="AJ84" s="143" t="str">
        <f t="shared" si="120"/>
        <v/>
      </c>
      <c r="AK84" s="143" t="str">
        <f t="shared" si="120"/>
        <v/>
      </c>
      <c r="AL84" s="143" t="str">
        <f t="shared" si="120"/>
        <v/>
      </c>
      <c r="AM84" s="143" t="str">
        <f t="shared" si="120"/>
        <v/>
      </c>
      <c r="AN84" s="143" t="str">
        <f t="shared" si="120"/>
        <v/>
      </c>
      <c r="AO84" s="143" t="str">
        <f t="shared" si="120"/>
        <v/>
      </c>
      <c r="AP84" s="143" t="str">
        <f t="shared" si="120"/>
        <v/>
      </c>
      <c r="AQ84" s="143" t="str">
        <f t="shared" si="120"/>
        <v/>
      </c>
      <c r="AR84" s="143" t="str">
        <f t="shared" si="120"/>
        <v/>
      </c>
      <c r="AS84" s="143" t="str">
        <f t="shared" si="120"/>
        <v/>
      </c>
      <c r="AT84" s="143" t="str">
        <f t="shared" si="120"/>
        <v/>
      </c>
      <c r="AU84" s="143" t="str">
        <f t="shared" si="120"/>
        <v/>
      </c>
      <c r="AV84" s="143" t="str">
        <f t="shared" si="120"/>
        <v/>
      </c>
      <c r="AW84" s="143" t="str">
        <f t="shared" si="120"/>
        <v/>
      </c>
      <c r="AX84" s="143" t="str">
        <f t="shared" si="120"/>
        <v/>
      </c>
      <c r="AY84" s="143" t="str">
        <f t="shared" si="120"/>
        <v/>
      </c>
      <c r="AZ84" s="143" t="str">
        <f t="shared" si="120"/>
        <v/>
      </c>
      <c r="BA84" s="143" t="str">
        <f t="shared" si="120"/>
        <v/>
      </c>
      <c r="BB84" s="143" t="str">
        <f t="shared" si="120"/>
        <v/>
      </c>
      <c r="BC84" s="143" t="str">
        <f t="shared" si="120"/>
        <v/>
      </c>
      <c r="BD84" s="143" t="str">
        <f t="shared" si="120"/>
        <v/>
      </c>
      <c r="BE84" s="143" t="str">
        <f t="shared" si="120"/>
        <v/>
      </c>
      <c r="BF84" s="143" t="str">
        <f t="shared" si="120"/>
        <v/>
      </c>
      <c r="BG84" s="143" t="str">
        <f t="shared" si="120"/>
        <v/>
      </c>
      <c r="BH84" s="143" t="str">
        <f t="shared" si="120"/>
        <v/>
      </c>
      <c r="BI84" s="143" t="str">
        <f t="shared" si="120"/>
        <v/>
      </c>
      <c r="BJ84" s="143" t="str">
        <f t="shared" si="120"/>
        <v/>
      </c>
      <c r="BK84" s="143" t="str">
        <f t="shared" si="120"/>
        <v/>
      </c>
      <c r="BL84" s="143" t="str">
        <f t="shared" si="120"/>
        <v/>
      </c>
      <c r="BM84" s="143" t="str">
        <f t="shared" si="120"/>
        <v/>
      </c>
      <c r="BN84" s="143" t="str">
        <f t="shared" si="120"/>
        <v/>
      </c>
      <c r="BO84" s="143" t="str">
        <f t="shared" si="120"/>
        <v/>
      </c>
      <c r="BP84" s="143" t="str">
        <f t="shared" si="120"/>
        <v/>
      </c>
      <c r="BQ84" s="144" t="str">
        <f t="shared" si="120"/>
        <v/>
      </c>
      <c r="BR84" s="132" t="s">
        <v>0</v>
      </c>
    </row>
    <row r="85" spans="1:70" ht="19.5" hidden="1" customHeight="1" outlineLevel="1">
      <c r="A85" s="324"/>
      <c r="B85" s="115">
        <v>14.1</v>
      </c>
      <c r="C85" s="116"/>
      <c r="D85" s="117"/>
      <c r="E85" s="118"/>
      <c r="F85" s="118" t="s">
        <v>662</v>
      </c>
      <c r="G85" s="118"/>
      <c r="H85" s="118"/>
      <c r="I85" s="119"/>
      <c r="J85" s="120"/>
      <c r="K85" s="121" t="s">
        <v>663</v>
      </c>
      <c r="L85" s="325"/>
      <c r="M85" s="122"/>
      <c r="N85" s="123"/>
      <c r="O85" s="122">
        <f t="shared" si="100"/>
        <v>2</v>
      </c>
      <c r="P85" s="327">
        <v>45370</v>
      </c>
      <c r="Q85" s="327">
        <v>45371</v>
      </c>
      <c r="R85" s="123"/>
      <c r="S85" s="122">
        <f t="shared" si="119"/>
        <v>2</v>
      </c>
      <c r="T85" s="327">
        <v>45370</v>
      </c>
      <c r="U85" s="327">
        <v>45371</v>
      </c>
      <c r="V85" s="123"/>
      <c r="W85" s="122">
        <f t="shared" si="101"/>
        <v>69</v>
      </c>
      <c r="X85" s="327">
        <v>45335</v>
      </c>
      <c r="Y85" s="327">
        <v>45431</v>
      </c>
      <c r="Z85" s="125"/>
      <c r="AA85" s="126"/>
      <c r="AB85" s="125"/>
      <c r="AC85" s="127"/>
      <c r="AD85" s="126"/>
      <c r="AE85" s="126"/>
      <c r="AF85" s="128"/>
      <c r="AG85" s="145" t="s">
        <v>664</v>
      </c>
      <c r="AH85" s="129"/>
      <c r="AI85" s="326" t="str">
        <f t="shared" ref="AI85:BQ85" si="121">IFERROR(IF(AND($T85&gt;=(EOMONTH(AI$8,-1)+1),$U85&lt;AJ$8,$I85="M"),"u",""),"")</f>
        <v/>
      </c>
      <c r="AJ85" s="130" t="str">
        <f t="shared" si="121"/>
        <v/>
      </c>
      <c r="AK85" s="130" t="str">
        <f t="shared" si="121"/>
        <v/>
      </c>
      <c r="AL85" s="130" t="str">
        <f t="shared" si="121"/>
        <v/>
      </c>
      <c r="AM85" s="130" t="str">
        <f t="shared" si="121"/>
        <v/>
      </c>
      <c r="AN85" s="130" t="str">
        <f t="shared" si="121"/>
        <v/>
      </c>
      <c r="AO85" s="130" t="str">
        <f t="shared" si="121"/>
        <v/>
      </c>
      <c r="AP85" s="130" t="str">
        <f t="shared" si="121"/>
        <v/>
      </c>
      <c r="AQ85" s="130" t="str">
        <f t="shared" si="121"/>
        <v/>
      </c>
      <c r="AR85" s="130" t="str">
        <f t="shared" si="121"/>
        <v/>
      </c>
      <c r="AS85" s="130" t="str">
        <f t="shared" si="121"/>
        <v/>
      </c>
      <c r="AT85" s="130" t="str">
        <f t="shared" si="121"/>
        <v/>
      </c>
      <c r="AU85" s="130" t="str">
        <f t="shared" si="121"/>
        <v/>
      </c>
      <c r="AV85" s="130" t="str">
        <f t="shared" si="121"/>
        <v/>
      </c>
      <c r="AW85" s="130" t="str">
        <f t="shared" si="121"/>
        <v/>
      </c>
      <c r="AX85" s="130" t="str">
        <f t="shared" si="121"/>
        <v/>
      </c>
      <c r="AY85" s="130" t="str">
        <f t="shared" si="121"/>
        <v/>
      </c>
      <c r="AZ85" s="130" t="str">
        <f t="shared" si="121"/>
        <v/>
      </c>
      <c r="BA85" s="130" t="str">
        <f t="shared" si="121"/>
        <v/>
      </c>
      <c r="BB85" s="130" t="str">
        <f t="shared" si="121"/>
        <v/>
      </c>
      <c r="BC85" s="130" t="str">
        <f t="shared" si="121"/>
        <v/>
      </c>
      <c r="BD85" s="130" t="str">
        <f t="shared" si="121"/>
        <v/>
      </c>
      <c r="BE85" s="130" t="str">
        <f t="shared" si="121"/>
        <v/>
      </c>
      <c r="BF85" s="130" t="str">
        <f t="shared" si="121"/>
        <v/>
      </c>
      <c r="BG85" s="130" t="str">
        <f t="shared" si="121"/>
        <v/>
      </c>
      <c r="BH85" s="130" t="str">
        <f t="shared" si="121"/>
        <v/>
      </c>
      <c r="BI85" s="130" t="str">
        <f t="shared" si="121"/>
        <v/>
      </c>
      <c r="BJ85" s="130" t="str">
        <f t="shared" si="121"/>
        <v/>
      </c>
      <c r="BK85" s="130" t="str">
        <f t="shared" si="121"/>
        <v/>
      </c>
      <c r="BL85" s="130" t="str">
        <f t="shared" si="121"/>
        <v/>
      </c>
      <c r="BM85" s="130" t="str">
        <f t="shared" si="121"/>
        <v/>
      </c>
      <c r="BN85" s="130" t="str">
        <f t="shared" si="121"/>
        <v/>
      </c>
      <c r="BO85" s="130" t="str">
        <f t="shared" si="121"/>
        <v/>
      </c>
      <c r="BP85" s="130" t="str">
        <f t="shared" si="121"/>
        <v/>
      </c>
      <c r="BQ85" s="131" t="str">
        <f t="shared" si="121"/>
        <v/>
      </c>
      <c r="BR85" s="132" t="s">
        <v>0</v>
      </c>
    </row>
    <row r="86" spans="1:70" ht="19.5" hidden="1" customHeight="1" outlineLevel="2">
      <c r="A86" s="324"/>
      <c r="B86" s="115"/>
      <c r="C86" s="116"/>
      <c r="D86" s="117"/>
      <c r="E86" s="118"/>
      <c r="F86" s="118"/>
      <c r="G86" s="118" t="s">
        <v>665</v>
      </c>
      <c r="H86" s="118"/>
      <c r="I86" s="119"/>
      <c r="J86" s="120"/>
      <c r="K86" s="121"/>
      <c r="L86" s="325"/>
      <c r="M86" s="122"/>
      <c r="N86" s="123"/>
      <c r="O86" s="122"/>
      <c r="P86" s="327"/>
      <c r="Q86" s="327"/>
      <c r="R86" s="123"/>
      <c r="S86" s="122"/>
      <c r="T86" s="327"/>
      <c r="U86" s="327"/>
      <c r="V86" s="123"/>
      <c r="W86" s="122">
        <f t="shared" si="101"/>
        <v>58</v>
      </c>
      <c r="X86" s="327">
        <f t="shared" ref="X86:X87" si="122">Y85</f>
        <v>45431</v>
      </c>
      <c r="Y86" s="327">
        <v>45511</v>
      </c>
      <c r="Z86" s="125"/>
      <c r="AA86" s="126"/>
      <c r="AB86" s="125"/>
      <c r="AC86" s="127"/>
      <c r="AD86" s="126"/>
      <c r="AE86" s="126"/>
      <c r="AF86" s="128"/>
      <c r="AG86" s="128" t="s">
        <v>666</v>
      </c>
      <c r="AH86" s="129"/>
      <c r="AI86" s="326" t="str">
        <f t="shared" ref="AI86:BQ86" si="123">IFERROR(IF(AND($T86&gt;=(EOMONTH(AI$8,-1)+1),$U86&lt;AJ$8,$I86="M"),"u",""),"")</f>
        <v/>
      </c>
      <c r="AJ86" s="130" t="str">
        <f t="shared" si="123"/>
        <v/>
      </c>
      <c r="AK86" s="130" t="str">
        <f t="shared" si="123"/>
        <v/>
      </c>
      <c r="AL86" s="130" t="str">
        <f t="shared" si="123"/>
        <v/>
      </c>
      <c r="AM86" s="130" t="str">
        <f t="shared" si="123"/>
        <v/>
      </c>
      <c r="AN86" s="130" t="str">
        <f t="shared" si="123"/>
        <v/>
      </c>
      <c r="AO86" s="130" t="str">
        <f t="shared" si="123"/>
        <v/>
      </c>
      <c r="AP86" s="130" t="str">
        <f t="shared" si="123"/>
        <v/>
      </c>
      <c r="AQ86" s="130" t="str">
        <f t="shared" si="123"/>
        <v/>
      </c>
      <c r="AR86" s="130" t="str">
        <f t="shared" si="123"/>
        <v/>
      </c>
      <c r="AS86" s="130" t="str">
        <f t="shared" si="123"/>
        <v/>
      </c>
      <c r="AT86" s="130" t="str">
        <f t="shared" si="123"/>
        <v/>
      </c>
      <c r="AU86" s="130" t="str">
        <f t="shared" si="123"/>
        <v/>
      </c>
      <c r="AV86" s="130" t="str">
        <f t="shared" si="123"/>
        <v/>
      </c>
      <c r="AW86" s="130" t="str">
        <f t="shared" si="123"/>
        <v/>
      </c>
      <c r="AX86" s="130" t="str">
        <f t="shared" si="123"/>
        <v/>
      </c>
      <c r="AY86" s="130" t="str">
        <f t="shared" si="123"/>
        <v/>
      </c>
      <c r="AZ86" s="130" t="str">
        <f t="shared" si="123"/>
        <v/>
      </c>
      <c r="BA86" s="130" t="str">
        <f t="shared" si="123"/>
        <v/>
      </c>
      <c r="BB86" s="130" t="str">
        <f t="shared" si="123"/>
        <v/>
      </c>
      <c r="BC86" s="130" t="str">
        <f t="shared" si="123"/>
        <v/>
      </c>
      <c r="BD86" s="130" t="str">
        <f t="shared" si="123"/>
        <v/>
      </c>
      <c r="BE86" s="130" t="str">
        <f t="shared" si="123"/>
        <v/>
      </c>
      <c r="BF86" s="130" t="str">
        <f t="shared" si="123"/>
        <v/>
      </c>
      <c r="BG86" s="130" t="str">
        <f t="shared" si="123"/>
        <v/>
      </c>
      <c r="BH86" s="130" t="str">
        <f t="shared" si="123"/>
        <v/>
      </c>
      <c r="BI86" s="130" t="str">
        <f t="shared" si="123"/>
        <v/>
      </c>
      <c r="BJ86" s="130" t="str">
        <f t="shared" si="123"/>
        <v/>
      </c>
      <c r="BK86" s="130" t="str">
        <f t="shared" si="123"/>
        <v/>
      </c>
      <c r="BL86" s="130" t="str">
        <f t="shared" si="123"/>
        <v/>
      </c>
      <c r="BM86" s="130" t="str">
        <f t="shared" si="123"/>
        <v/>
      </c>
      <c r="BN86" s="130" t="str">
        <f t="shared" si="123"/>
        <v/>
      </c>
      <c r="BO86" s="130" t="str">
        <f t="shared" si="123"/>
        <v/>
      </c>
      <c r="BP86" s="130" t="str">
        <f t="shared" si="123"/>
        <v/>
      </c>
      <c r="BQ86" s="131" t="str">
        <f t="shared" si="123"/>
        <v/>
      </c>
      <c r="BR86" s="132" t="s">
        <v>0</v>
      </c>
    </row>
    <row r="87" spans="1:70" ht="19.5" hidden="1" customHeight="1" outlineLevel="2">
      <c r="A87" s="324"/>
      <c r="B87" s="115"/>
      <c r="C87" s="116"/>
      <c r="D87" s="117"/>
      <c r="E87" s="118"/>
      <c r="F87" s="118"/>
      <c r="G87" s="118" t="s">
        <v>667</v>
      </c>
      <c r="H87" s="118"/>
      <c r="I87" s="119"/>
      <c r="J87" s="120"/>
      <c r="K87" s="121"/>
      <c r="L87" s="325"/>
      <c r="M87" s="122"/>
      <c r="N87" s="123"/>
      <c r="O87" s="122"/>
      <c r="P87" s="327"/>
      <c r="Q87" s="327"/>
      <c r="R87" s="123"/>
      <c r="S87" s="122"/>
      <c r="T87" s="327"/>
      <c r="U87" s="327"/>
      <c r="V87" s="123"/>
      <c r="W87" s="122">
        <f t="shared" si="101"/>
        <v>7</v>
      </c>
      <c r="X87" s="327">
        <f t="shared" si="122"/>
        <v>45511</v>
      </c>
      <c r="Y87" s="327">
        <v>45519</v>
      </c>
      <c r="Z87" s="125"/>
      <c r="AA87" s="126"/>
      <c r="AB87" s="125"/>
      <c r="AC87" s="127"/>
      <c r="AD87" s="126"/>
      <c r="AE87" s="126"/>
      <c r="AF87" s="128"/>
      <c r="AG87" s="128" t="s">
        <v>668</v>
      </c>
      <c r="AH87" s="129"/>
      <c r="AI87" s="326" t="str">
        <f t="shared" ref="AI87:BQ87" si="124">IFERROR(IF(AND($T87&gt;=(EOMONTH(AI$8,-1)+1),$U87&lt;AJ$8,$I87="M"),"u",""),"")</f>
        <v/>
      </c>
      <c r="AJ87" s="130" t="str">
        <f t="shared" si="124"/>
        <v/>
      </c>
      <c r="AK87" s="130" t="str">
        <f t="shared" si="124"/>
        <v/>
      </c>
      <c r="AL87" s="130" t="str">
        <f t="shared" si="124"/>
        <v/>
      </c>
      <c r="AM87" s="130" t="str">
        <f t="shared" si="124"/>
        <v/>
      </c>
      <c r="AN87" s="130" t="str">
        <f t="shared" si="124"/>
        <v/>
      </c>
      <c r="AO87" s="130" t="str">
        <f t="shared" si="124"/>
        <v/>
      </c>
      <c r="AP87" s="130" t="str">
        <f t="shared" si="124"/>
        <v/>
      </c>
      <c r="AQ87" s="130" t="str">
        <f t="shared" si="124"/>
        <v/>
      </c>
      <c r="AR87" s="130" t="str">
        <f t="shared" si="124"/>
        <v/>
      </c>
      <c r="AS87" s="130" t="str">
        <f t="shared" si="124"/>
        <v/>
      </c>
      <c r="AT87" s="130" t="str">
        <f t="shared" si="124"/>
        <v/>
      </c>
      <c r="AU87" s="130" t="str">
        <f t="shared" si="124"/>
        <v/>
      </c>
      <c r="AV87" s="130" t="str">
        <f t="shared" si="124"/>
        <v/>
      </c>
      <c r="AW87" s="130" t="str">
        <f t="shared" si="124"/>
        <v/>
      </c>
      <c r="AX87" s="130" t="str">
        <f t="shared" si="124"/>
        <v/>
      </c>
      <c r="AY87" s="130" t="str">
        <f t="shared" si="124"/>
        <v/>
      </c>
      <c r="AZ87" s="130" t="str">
        <f t="shared" si="124"/>
        <v/>
      </c>
      <c r="BA87" s="130" t="str">
        <f t="shared" si="124"/>
        <v/>
      </c>
      <c r="BB87" s="130" t="str">
        <f t="shared" si="124"/>
        <v/>
      </c>
      <c r="BC87" s="130" t="str">
        <f t="shared" si="124"/>
        <v/>
      </c>
      <c r="BD87" s="130" t="str">
        <f t="shared" si="124"/>
        <v/>
      </c>
      <c r="BE87" s="130" t="str">
        <f t="shared" si="124"/>
        <v/>
      </c>
      <c r="BF87" s="130" t="str">
        <f t="shared" si="124"/>
        <v/>
      </c>
      <c r="BG87" s="130" t="str">
        <f t="shared" si="124"/>
        <v/>
      </c>
      <c r="BH87" s="130" t="str">
        <f t="shared" si="124"/>
        <v/>
      </c>
      <c r="BI87" s="130" t="str">
        <f t="shared" si="124"/>
        <v/>
      </c>
      <c r="BJ87" s="130" t="str">
        <f t="shared" si="124"/>
        <v/>
      </c>
      <c r="BK87" s="130" t="str">
        <f t="shared" si="124"/>
        <v/>
      </c>
      <c r="BL87" s="130" t="str">
        <f t="shared" si="124"/>
        <v/>
      </c>
      <c r="BM87" s="130" t="str">
        <f t="shared" si="124"/>
        <v/>
      </c>
      <c r="BN87" s="130" t="str">
        <f t="shared" si="124"/>
        <v/>
      </c>
      <c r="BO87" s="130" t="str">
        <f t="shared" si="124"/>
        <v/>
      </c>
      <c r="BP87" s="130" t="str">
        <f t="shared" si="124"/>
        <v/>
      </c>
      <c r="BQ87" s="131" t="str">
        <f t="shared" si="124"/>
        <v/>
      </c>
      <c r="BR87" s="132" t="s">
        <v>0</v>
      </c>
    </row>
    <row r="88" spans="1:70" ht="19.5" hidden="1" customHeight="1" outlineLevel="1">
      <c r="A88" s="324"/>
      <c r="B88" s="115">
        <v>14.1</v>
      </c>
      <c r="C88" s="116"/>
      <c r="D88" s="117"/>
      <c r="E88" s="118"/>
      <c r="F88" s="118" t="s">
        <v>669</v>
      </c>
      <c r="G88" s="118"/>
      <c r="H88" s="118"/>
      <c r="I88" s="119"/>
      <c r="J88" s="120"/>
      <c r="K88" s="121" t="s">
        <v>663</v>
      </c>
      <c r="L88" s="325"/>
      <c r="M88" s="122"/>
      <c r="N88" s="123"/>
      <c r="O88" s="122">
        <f t="shared" ref="O88:O114" si="125">NETWORKDAYS(P88,Q88)</f>
        <v>30</v>
      </c>
      <c r="P88" s="327">
        <f>MIN(P89:P90)</f>
        <v>45371</v>
      </c>
      <c r="Q88" s="327">
        <f>MAX(Q89:Q90)</f>
        <v>45412</v>
      </c>
      <c r="R88" s="123"/>
      <c r="S88" s="122">
        <f t="shared" ref="S88:S96" si="126">NETWORKDAYS(T88,U88)</f>
        <v>30</v>
      </c>
      <c r="T88" s="327">
        <f>MIN(T89:T90)</f>
        <v>45371</v>
      </c>
      <c r="U88" s="327">
        <f>MAX(U89:U90)</f>
        <v>45412</v>
      </c>
      <c r="V88" s="123"/>
      <c r="W88" s="122">
        <f t="shared" si="101"/>
        <v>60</v>
      </c>
      <c r="X88" s="327">
        <f>MIN(X89:X90)</f>
        <v>45431</v>
      </c>
      <c r="Y88" s="327">
        <f>MAX(Y89:Y90)</f>
        <v>45513</v>
      </c>
      <c r="Z88" s="125"/>
      <c r="AA88" s="126"/>
      <c r="AB88" s="125"/>
      <c r="AC88" s="127"/>
      <c r="AD88" s="126"/>
      <c r="AE88" s="126"/>
      <c r="AF88" s="128"/>
      <c r="AG88" s="128"/>
      <c r="AH88" s="129"/>
      <c r="AI88" s="326" t="str">
        <f t="shared" ref="AI88:BQ88" si="127">IFERROR(IF(AND($T88&gt;=(EOMONTH(AI$8,-1)+1),$U88&lt;AJ$8,$I88="M"),"u",""),"")</f>
        <v/>
      </c>
      <c r="AJ88" s="130" t="str">
        <f t="shared" si="127"/>
        <v/>
      </c>
      <c r="AK88" s="130" t="str">
        <f t="shared" si="127"/>
        <v/>
      </c>
      <c r="AL88" s="130" t="str">
        <f t="shared" si="127"/>
        <v/>
      </c>
      <c r="AM88" s="130" t="str">
        <f t="shared" si="127"/>
        <v/>
      </c>
      <c r="AN88" s="130" t="str">
        <f t="shared" si="127"/>
        <v/>
      </c>
      <c r="AO88" s="130" t="str">
        <f t="shared" si="127"/>
        <v/>
      </c>
      <c r="AP88" s="130" t="str">
        <f t="shared" si="127"/>
        <v/>
      </c>
      <c r="AQ88" s="130" t="str">
        <f t="shared" si="127"/>
        <v/>
      </c>
      <c r="AR88" s="130" t="str">
        <f t="shared" si="127"/>
        <v/>
      </c>
      <c r="AS88" s="130" t="str">
        <f t="shared" si="127"/>
        <v/>
      </c>
      <c r="AT88" s="130" t="str">
        <f t="shared" si="127"/>
        <v/>
      </c>
      <c r="AU88" s="130" t="str">
        <f t="shared" si="127"/>
        <v/>
      </c>
      <c r="AV88" s="130" t="str">
        <f t="shared" si="127"/>
        <v/>
      </c>
      <c r="AW88" s="130" t="str">
        <f t="shared" si="127"/>
        <v/>
      </c>
      <c r="AX88" s="130" t="str">
        <f t="shared" si="127"/>
        <v/>
      </c>
      <c r="AY88" s="130" t="str">
        <f t="shared" si="127"/>
        <v/>
      </c>
      <c r="AZ88" s="130" t="str">
        <f t="shared" si="127"/>
        <v/>
      </c>
      <c r="BA88" s="130" t="str">
        <f t="shared" si="127"/>
        <v/>
      </c>
      <c r="BB88" s="130" t="str">
        <f t="shared" si="127"/>
        <v/>
      </c>
      <c r="BC88" s="130" t="str">
        <f t="shared" si="127"/>
        <v/>
      </c>
      <c r="BD88" s="130" t="str">
        <f t="shared" si="127"/>
        <v/>
      </c>
      <c r="BE88" s="130" t="str">
        <f t="shared" si="127"/>
        <v/>
      </c>
      <c r="BF88" s="130" t="str">
        <f t="shared" si="127"/>
        <v/>
      </c>
      <c r="BG88" s="130" t="str">
        <f t="shared" si="127"/>
        <v/>
      </c>
      <c r="BH88" s="130" t="str">
        <f t="shared" si="127"/>
        <v/>
      </c>
      <c r="BI88" s="130" t="str">
        <f t="shared" si="127"/>
        <v/>
      </c>
      <c r="BJ88" s="130" t="str">
        <f t="shared" si="127"/>
        <v/>
      </c>
      <c r="BK88" s="130" t="str">
        <f t="shared" si="127"/>
        <v/>
      </c>
      <c r="BL88" s="130" t="str">
        <f t="shared" si="127"/>
        <v/>
      </c>
      <c r="BM88" s="130" t="str">
        <f t="shared" si="127"/>
        <v/>
      </c>
      <c r="BN88" s="130" t="str">
        <f t="shared" si="127"/>
        <v/>
      </c>
      <c r="BO88" s="130" t="str">
        <f t="shared" si="127"/>
        <v/>
      </c>
      <c r="BP88" s="130" t="str">
        <f t="shared" si="127"/>
        <v/>
      </c>
      <c r="BQ88" s="131" t="str">
        <f t="shared" si="127"/>
        <v/>
      </c>
      <c r="BR88" s="132" t="s">
        <v>0</v>
      </c>
    </row>
    <row r="89" spans="1:70" ht="19.5" hidden="1" customHeight="1" outlineLevel="2">
      <c r="A89" s="324"/>
      <c r="B89" s="115"/>
      <c r="C89" s="116"/>
      <c r="D89" s="117"/>
      <c r="E89" s="118"/>
      <c r="F89" s="118"/>
      <c r="G89" s="118" t="s">
        <v>670</v>
      </c>
      <c r="H89" s="118"/>
      <c r="I89" s="119"/>
      <c r="J89" s="120"/>
      <c r="K89" s="121" t="s">
        <v>663</v>
      </c>
      <c r="L89" s="325"/>
      <c r="M89" s="122"/>
      <c r="N89" s="123"/>
      <c r="O89" s="122">
        <f t="shared" si="125"/>
        <v>23</v>
      </c>
      <c r="P89" s="327">
        <v>45371</v>
      </c>
      <c r="Q89" s="327">
        <v>45402</v>
      </c>
      <c r="R89" s="123"/>
      <c r="S89" s="122">
        <f t="shared" si="126"/>
        <v>23</v>
      </c>
      <c r="T89" s="327">
        <v>45371</v>
      </c>
      <c r="U89" s="327">
        <v>45402</v>
      </c>
      <c r="V89" s="123"/>
      <c r="W89" s="122">
        <f t="shared" si="101"/>
        <v>52</v>
      </c>
      <c r="X89" s="327">
        <f>Y85</f>
        <v>45431</v>
      </c>
      <c r="Y89" s="327">
        <v>45503</v>
      </c>
      <c r="Z89" s="125"/>
      <c r="AA89" s="126"/>
      <c r="AB89" s="125"/>
      <c r="AC89" s="127"/>
      <c r="AD89" s="126"/>
      <c r="AE89" s="126"/>
      <c r="AF89" s="128"/>
      <c r="AG89" s="128" t="s">
        <v>671</v>
      </c>
      <c r="AH89" s="129"/>
      <c r="AI89" s="326" t="str">
        <f t="shared" ref="AI89:BQ89" si="128">IFERROR(IF(AND($T89&gt;=(EOMONTH(AI$8,-1)+1),$U89&lt;AJ$8,$I89="M"),"u",""),"")</f>
        <v/>
      </c>
      <c r="AJ89" s="130" t="str">
        <f t="shared" si="128"/>
        <v/>
      </c>
      <c r="AK89" s="130" t="str">
        <f t="shared" si="128"/>
        <v/>
      </c>
      <c r="AL89" s="130" t="str">
        <f t="shared" si="128"/>
        <v/>
      </c>
      <c r="AM89" s="130" t="str">
        <f t="shared" si="128"/>
        <v/>
      </c>
      <c r="AN89" s="130" t="str">
        <f t="shared" si="128"/>
        <v/>
      </c>
      <c r="AO89" s="130" t="str">
        <f t="shared" si="128"/>
        <v/>
      </c>
      <c r="AP89" s="130" t="str">
        <f t="shared" si="128"/>
        <v/>
      </c>
      <c r="AQ89" s="130" t="str">
        <f t="shared" si="128"/>
        <v/>
      </c>
      <c r="AR89" s="130" t="str">
        <f t="shared" si="128"/>
        <v/>
      </c>
      <c r="AS89" s="130" t="str">
        <f t="shared" si="128"/>
        <v/>
      </c>
      <c r="AT89" s="130" t="str">
        <f t="shared" si="128"/>
        <v/>
      </c>
      <c r="AU89" s="130" t="str">
        <f t="shared" si="128"/>
        <v/>
      </c>
      <c r="AV89" s="130" t="str">
        <f t="shared" si="128"/>
        <v/>
      </c>
      <c r="AW89" s="130" t="str">
        <f t="shared" si="128"/>
        <v/>
      </c>
      <c r="AX89" s="130" t="str">
        <f t="shared" si="128"/>
        <v/>
      </c>
      <c r="AY89" s="130" t="str">
        <f t="shared" si="128"/>
        <v/>
      </c>
      <c r="AZ89" s="130" t="str">
        <f t="shared" si="128"/>
        <v/>
      </c>
      <c r="BA89" s="130" t="str">
        <f t="shared" si="128"/>
        <v/>
      </c>
      <c r="BB89" s="130" t="str">
        <f t="shared" si="128"/>
        <v/>
      </c>
      <c r="BC89" s="130" t="str">
        <f t="shared" si="128"/>
        <v/>
      </c>
      <c r="BD89" s="130" t="str">
        <f t="shared" si="128"/>
        <v/>
      </c>
      <c r="BE89" s="130" t="str">
        <f t="shared" si="128"/>
        <v/>
      </c>
      <c r="BF89" s="130" t="str">
        <f t="shared" si="128"/>
        <v/>
      </c>
      <c r="BG89" s="130" t="str">
        <f t="shared" si="128"/>
        <v/>
      </c>
      <c r="BH89" s="130" t="str">
        <f t="shared" si="128"/>
        <v/>
      </c>
      <c r="BI89" s="130" t="str">
        <f t="shared" si="128"/>
        <v/>
      </c>
      <c r="BJ89" s="130" t="str">
        <f t="shared" si="128"/>
        <v/>
      </c>
      <c r="BK89" s="130" t="str">
        <f t="shared" si="128"/>
        <v/>
      </c>
      <c r="BL89" s="130" t="str">
        <f t="shared" si="128"/>
        <v/>
      </c>
      <c r="BM89" s="130" t="str">
        <f t="shared" si="128"/>
        <v/>
      </c>
      <c r="BN89" s="130" t="str">
        <f t="shared" si="128"/>
        <v/>
      </c>
      <c r="BO89" s="130" t="str">
        <f t="shared" si="128"/>
        <v/>
      </c>
      <c r="BP89" s="130" t="str">
        <f t="shared" si="128"/>
        <v/>
      </c>
      <c r="BQ89" s="131" t="str">
        <f t="shared" si="128"/>
        <v/>
      </c>
      <c r="BR89" s="132" t="s">
        <v>0</v>
      </c>
    </row>
    <row r="90" spans="1:70" ht="19.5" hidden="1" customHeight="1" outlineLevel="2">
      <c r="A90" s="324"/>
      <c r="B90" s="115"/>
      <c r="C90" s="116"/>
      <c r="D90" s="117"/>
      <c r="E90" s="118"/>
      <c r="F90" s="118"/>
      <c r="G90" s="118" t="s">
        <v>672</v>
      </c>
      <c r="H90" s="118"/>
      <c r="I90" s="119"/>
      <c r="J90" s="120"/>
      <c r="K90" s="121" t="s">
        <v>663</v>
      </c>
      <c r="L90" s="325"/>
      <c r="M90" s="122"/>
      <c r="N90" s="123"/>
      <c r="O90" s="122">
        <f t="shared" si="125"/>
        <v>7</v>
      </c>
      <c r="P90" s="327">
        <v>45402</v>
      </c>
      <c r="Q90" s="327">
        <v>45412</v>
      </c>
      <c r="R90" s="123"/>
      <c r="S90" s="122">
        <f t="shared" si="126"/>
        <v>7</v>
      </c>
      <c r="T90" s="327">
        <v>45402</v>
      </c>
      <c r="U90" s="327">
        <v>45412</v>
      </c>
      <c r="V90" s="123"/>
      <c r="W90" s="122">
        <f t="shared" si="101"/>
        <v>9</v>
      </c>
      <c r="X90" s="327">
        <f>Y89</f>
        <v>45503</v>
      </c>
      <c r="Y90" s="327">
        <f>X90+10</f>
        <v>45513</v>
      </c>
      <c r="Z90" s="125"/>
      <c r="AA90" s="126"/>
      <c r="AB90" s="125"/>
      <c r="AC90" s="127"/>
      <c r="AD90" s="126"/>
      <c r="AE90" s="126"/>
      <c r="AF90" s="128"/>
      <c r="AG90" s="128"/>
      <c r="AH90" s="129"/>
      <c r="AI90" s="326" t="str">
        <f t="shared" ref="AI90:BQ90" si="129">IFERROR(IF(AND($T90&gt;=(EOMONTH(AI$8,-1)+1),$U90&lt;AJ$8,$I90="M"),"u",""),"")</f>
        <v/>
      </c>
      <c r="AJ90" s="130" t="str">
        <f t="shared" si="129"/>
        <v/>
      </c>
      <c r="AK90" s="130" t="str">
        <f t="shared" si="129"/>
        <v/>
      </c>
      <c r="AL90" s="130" t="str">
        <f t="shared" si="129"/>
        <v/>
      </c>
      <c r="AM90" s="130" t="str">
        <f t="shared" si="129"/>
        <v/>
      </c>
      <c r="AN90" s="130" t="str">
        <f t="shared" si="129"/>
        <v/>
      </c>
      <c r="AO90" s="130" t="str">
        <f t="shared" si="129"/>
        <v/>
      </c>
      <c r="AP90" s="130" t="str">
        <f t="shared" si="129"/>
        <v/>
      </c>
      <c r="AQ90" s="130" t="str">
        <f t="shared" si="129"/>
        <v/>
      </c>
      <c r="AR90" s="130" t="str">
        <f t="shared" si="129"/>
        <v/>
      </c>
      <c r="AS90" s="130" t="str">
        <f t="shared" si="129"/>
        <v/>
      </c>
      <c r="AT90" s="130" t="str">
        <f t="shared" si="129"/>
        <v/>
      </c>
      <c r="AU90" s="130" t="str">
        <f t="shared" si="129"/>
        <v/>
      </c>
      <c r="AV90" s="130" t="str">
        <f t="shared" si="129"/>
        <v/>
      </c>
      <c r="AW90" s="130" t="str">
        <f t="shared" si="129"/>
        <v/>
      </c>
      <c r="AX90" s="130" t="str">
        <f t="shared" si="129"/>
        <v/>
      </c>
      <c r="AY90" s="130" t="str">
        <f t="shared" si="129"/>
        <v/>
      </c>
      <c r="AZ90" s="130" t="str">
        <f t="shared" si="129"/>
        <v/>
      </c>
      <c r="BA90" s="130" t="str">
        <f t="shared" si="129"/>
        <v/>
      </c>
      <c r="BB90" s="130" t="str">
        <f t="shared" si="129"/>
        <v/>
      </c>
      <c r="BC90" s="130" t="str">
        <f t="shared" si="129"/>
        <v/>
      </c>
      <c r="BD90" s="130" t="str">
        <f t="shared" si="129"/>
        <v/>
      </c>
      <c r="BE90" s="130" t="str">
        <f t="shared" si="129"/>
        <v/>
      </c>
      <c r="BF90" s="130" t="str">
        <f t="shared" si="129"/>
        <v/>
      </c>
      <c r="BG90" s="130" t="str">
        <f t="shared" si="129"/>
        <v/>
      </c>
      <c r="BH90" s="130" t="str">
        <f t="shared" si="129"/>
        <v/>
      </c>
      <c r="BI90" s="130" t="str">
        <f t="shared" si="129"/>
        <v/>
      </c>
      <c r="BJ90" s="130" t="str">
        <f t="shared" si="129"/>
        <v/>
      </c>
      <c r="BK90" s="130" t="str">
        <f t="shared" si="129"/>
        <v/>
      </c>
      <c r="BL90" s="130" t="str">
        <f t="shared" si="129"/>
        <v/>
      </c>
      <c r="BM90" s="130" t="str">
        <f t="shared" si="129"/>
        <v/>
      </c>
      <c r="BN90" s="130" t="str">
        <f t="shared" si="129"/>
        <v/>
      </c>
      <c r="BO90" s="130" t="str">
        <f t="shared" si="129"/>
        <v/>
      </c>
      <c r="BP90" s="130" t="str">
        <f t="shared" si="129"/>
        <v/>
      </c>
      <c r="BQ90" s="131" t="str">
        <f t="shared" si="129"/>
        <v/>
      </c>
      <c r="BR90" s="132" t="s">
        <v>0</v>
      </c>
    </row>
    <row r="91" spans="1:70" ht="19.5" hidden="1" customHeight="1" outlineLevel="1">
      <c r="A91" s="324"/>
      <c r="B91" s="115">
        <v>14.2</v>
      </c>
      <c r="C91" s="116"/>
      <c r="D91" s="117"/>
      <c r="E91" s="118"/>
      <c r="F91" s="118" t="s">
        <v>673</v>
      </c>
      <c r="G91" s="118"/>
      <c r="H91" s="118"/>
      <c r="I91" s="119" t="s">
        <v>457</v>
      </c>
      <c r="J91" s="120" t="s">
        <v>674</v>
      </c>
      <c r="K91" s="121" t="s">
        <v>675</v>
      </c>
      <c r="L91" s="325"/>
      <c r="M91" s="122"/>
      <c r="N91" s="123"/>
      <c r="O91" s="122">
        <f t="shared" si="125"/>
        <v>22</v>
      </c>
      <c r="P91" s="327">
        <f>MIN(P92:P94)</f>
        <v>45373</v>
      </c>
      <c r="Q91" s="327">
        <f>MAX(Q92:Q94)</f>
        <v>45404</v>
      </c>
      <c r="R91" s="123"/>
      <c r="S91" s="122">
        <f t="shared" si="126"/>
        <v>22</v>
      </c>
      <c r="T91" s="327">
        <f>MIN(T92:T94)</f>
        <v>45373</v>
      </c>
      <c r="U91" s="327">
        <f>MAX(U92:U94)</f>
        <v>45404</v>
      </c>
      <c r="V91" s="123"/>
      <c r="W91" s="122">
        <f t="shared" si="101"/>
        <v>150</v>
      </c>
      <c r="X91" s="327">
        <f>MIN(X92:X94)</f>
        <v>45503</v>
      </c>
      <c r="Y91" s="327">
        <f>MAX(Y92:Y94)</f>
        <v>45712</v>
      </c>
      <c r="Z91" s="125"/>
      <c r="AA91" s="126"/>
      <c r="AB91" s="125"/>
      <c r="AC91" s="127"/>
      <c r="AD91" s="126"/>
      <c r="AE91" s="126"/>
      <c r="AF91" s="128"/>
      <c r="AG91" s="128"/>
      <c r="AH91" s="129"/>
      <c r="AI91" s="326" t="str">
        <f t="shared" ref="AI91:BQ91" si="130">IFERROR(IF(AND($T91&gt;=(EOMONTH(AI$8,-1)+1),$U91&lt;AJ$8,$I91="M"),"u",""),"")</f>
        <v/>
      </c>
      <c r="AJ91" s="130" t="str">
        <f t="shared" si="130"/>
        <v/>
      </c>
      <c r="AK91" s="130" t="str">
        <f t="shared" si="130"/>
        <v/>
      </c>
      <c r="AL91" s="130" t="str">
        <f t="shared" si="130"/>
        <v/>
      </c>
      <c r="AM91" s="130" t="str">
        <f t="shared" si="130"/>
        <v/>
      </c>
      <c r="AN91" s="130" t="str">
        <f t="shared" si="130"/>
        <v/>
      </c>
      <c r="AO91" s="130" t="str">
        <f t="shared" si="130"/>
        <v/>
      </c>
      <c r="AP91" s="130" t="str">
        <f t="shared" si="130"/>
        <v/>
      </c>
      <c r="AQ91" s="130" t="str">
        <f t="shared" si="130"/>
        <v/>
      </c>
      <c r="AR91" s="130" t="str">
        <f t="shared" si="130"/>
        <v/>
      </c>
      <c r="AS91" s="130" t="str">
        <f t="shared" si="130"/>
        <v/>
      </c>
      <c r="AT91" s="130" t="str">
        <f t="shared" si="130"/>
        <v/>
      </c>
      <c r="AU91" s="130" t="str">
        <f t="shared" si="130"/>
        <v>u</v>
      </c>
      <c r="AV91" s="130" t="str">
        <f t="shared" si="130"/>
        <v/>
      </c>
      <c r="AW91" s="130" t="str">
        <f t="shared" si="130"/>
        <v/>
      </c>
      <c r="AX91" s="130" t="str">
        <f t="shared" si="130"/>
        <v/>
      </c>
      <c r="AY91" s="130" t="str">
        <f t="shared" si="130"/>
        <v/>
      </c>
      <c r="AZ91" s="130" t="str">
        <f t="shared" si="130"/>
        <v/>
      </c>
      <c r="BA91" s="130" t="str">
        <f t="shared" si="130"/>
        <v/>
      </c>
      <c r="BB91" s="130" t="str">
        <f t="shared" si="130"/>
        <v/>
      </c>
      <c r="BC91" s="130" t="str">
        <f t="shared" si="130"/>
        <v/>
      </c>
      <c r="BD91" s="130" t="str">
        <f t="shared" si="130"/>
        <v/>
      </c>
      <c r="BE91" s="130" t="str">
        <f t="shared" si="130"/>
        <v/>
      </c>
      <c r="BF91" s="130" t="str">
        <f t="shared" si="130"/>
        <v/>
      </c>
      <c r="BG91" s="130" t="str">
        <f t="shared" si="130"/>
        <v/>
      </c>
      <c r="BH91" s="130" t="str">
        <f t="shared" si="130"/>
        <v/>
      </c>
      <c r="BI91" s="130" t="str">
        <f t="shared" si="130"/>
        <v/>
      </c>
      <c r="BJ91" s="130" t="str">
        <f t="shared" si="130"/>
        <v/>
      </c>
      <c r="BK91" s="130" t="str">
        <f t="shared" si="130"/>
        <v/>
      </c>
      <c r="BL91" s="130" t="str">
        <f t="shared" si="130"/>
        <v/>
      </c>
      <c r="BM91" s="130" t="str">
        <f t="shared" si="130"/>
        <v/>
      </c>
      <c r="BN91" s="130" t="str">
        <f t="shared" si="130"/>
        <v/>
      </c>
      <c r="BO91" s="130" t="str">
        <f t="shared" si="130"/>
        <v/>
      </c>
      <c r="BP91" s="130" t="str">
        <f t="shared" si="130"/>
        <v/>
      </c>
      <c r="BQ91" s="131" t="str">
        <f t="shared" si="130"/>
        <v/>
      </c>
      <c r="BR91" s="132" t="s">
        <v>0</v>
      </c>
    </row>
    <row r="92" spans="1:70" ht="19.5" hidden="1" customHeight="1" outlineLevel="2">
      <c r="A92" s="324"/>
      <c r="B92" s="115"/>
      <c r="C92" s="116"/>
      <c r="D92" s="117"/>
      <c r="E92" s="118"/>
      <c r="F92" s="118"/>
      <c r="G92" s="118" t="s">
        <v>676</v>
      </c>
      <c r="H92" s="118"/>
      <c r="I92" s="119" t="s">
        <v>457</v>
      </c>
      <c r="J92" s="120" t="s">
        <v>674</v>
      </c>
      <c r="K92" s="121" t="s">
        <v>675</v>
      </c>
      <c r="L92" s="325"/>
      <c r="M92" s="122"/>
      <c r="N92" s="123"/>
      <c r="O92" s="122">
        <f t="shared" si="125"/>
        <v>11</v>
      </c>
      <c r="P92" s="327">
        <v>45373</v>
      </c>
      <c r="Q92" s="327">
        <v>45388</v>
      </c>
      <c r="R92" s="123"/>
      <c r="S92" s="122">
        <f t="shared" si="126"/>
        <v>11</v>
      </c>
      <c r="T92" s="327">
        <v>45373</v>
      </c>
      <c r="U92" s="327">
        <v>45388</v>
      </c>
      <c r="V92" s="123"/>
      <c r="W92" s="122">
        <f t="shared" si="101"/>
        <v>14</v>
      </c>
      <c r="X92" s="327">
        <f>Y89</f>
        <v>45503</v>
      </c>
      <c r="Y92" s="327">
        <v>45520</v>
      </c>
      <c r="Z92" s="125"/>
      <c r="AA92" s="126"/>
      <c r="AB92" s="125"/>
      <c r="AC92" s="127"/>
      <c r="AD92" s="126"/>
      <c r="AE92" s="126"/>
      <c r="AF92" s="128"/>
      <c r="AG92" s="128" t="s">
        <v>532</v>
      </c>
      <c r="AH92" s="129"/>
      <c r="AI92" s="326" t="str">
        <f t="shared" ref="AI92:BQ92" si="131">IFERROR(IF(AND($T92&gt;=(EOMONTH(AI$8,-1)+1),$U92&lt;AJ$8,$I92="M"),"u",""),"")</f>
        <v/>
      </c>
      <c r="AJ92" s="130" t="str">
        <f t="shared" si="131"/>
        <v/>
      </c>
      <c r="AK92" s="130" t="str">
        <f t="shared" si="131"/>
        <v/>
      </c>
      <c r="AL92" s="130" t="str">
        <f t="shared" si="131"/>
        <v/>
      </c>
      <c r="AM92" s="130" t="str">
        <f t="shared" si="131"/>
        <v/>
      </c>
      <c r="AN92" s="130" t="str">
        <f t="shared" si="131"/>
        <v/>
      </c>
      <c r="AO92" s="130" t="str">
        <f t="shared" si="131"/>
        <v/>
      </c>
      <c r="AP92" s="130" t="str">
        <f t="shared" si="131"/>
        <v/>
      </c>
      <c r="AQ92" s="130" t="str">
        <f t="shared" si="131"/>
        <v/>
      </c>
      <c r="AR92" s="130" t="str">
        <f t="shared" si="131"/>
        <v/>
      </c>
      <c r="AS92" s="130" t="str">
        <f t="shared" si="131"/>
        <v/>
      </c>
      <c r="AT92" s="130" t="str">
        <f t="shared" si="131"/>
        <v/>
      </c>
      <c r="AU92" s="130" t="str">
        <f t="shared" si="131"/>
        <v>u</v>
      </c>
      <c r="AV92" s="130" t="str">
        <f t="shared" si="131"/>
        <v/>
      </c>
      <c r="AW92" s="130" t="str">
        <f t="shared" si="131"/>
        <v/>
      </c>
      <c r="AX92" s="130" t="str">
        <f t="shared" si="131"/>
        <v/>
      </c>
      <c r="AY92" s="130" t="str">
        <f t="shared" si="131"/>
        <v/>
      </c>
      <c r="AZ92" s="130" t="str">
        <f t="shared" si="131"/>
        <v/>
      </c>
      <c r="BA92" s="130" t="str">
        <f t="shared" si="131"/>
        <v/>
      </c>
      <c r="BB92" s="130" t="str">
        <f t="shared" si="131"/>
        <v/>
      </c>
      <c r="BC92" s="130" t="str">
        <f t="shared" si="131"/>
        <v/>
      </c>
      <c r="BD92" s="130" t="str">
        <f t="shared" si="131"/>
        <v/>
      </c>
      <c r="BE92" s="130" t="str">
        <f t="shared" si="131"/>
        <v/>
      </c>
      <c r="BF92" s="130" t="str">
        <f t="shared" si="131"/>
        <v/>
      </c>
      <c r="BG92" s="130" t="str">
        <f t="shared" si="131"/>
        <v/>
      </c>
      <c r="BH92" s="130" t="str">
        <f t="shared" si="131"/>
        <v/>
      </c>
      <c r="BI92" s="130" t="str">
        <f t="shared" si="131"/>
        <v/>
      </c>
      <c r="BJ92" s="130" t="str">
        <f t="shared" si="131"/>
        <v/>
      </c>
      <c r="BK92" s="130" t="str">
        <f t="shared" si="131"/>
        <v/>
      </c>
      <c r="BL92" s="130" t="str">
        <f t="shared" si="131"/>
        <v/>
      </c>
      <c r="BM92" s="130" t="str">
        <f t="shared" si="131"/>
        <v/>
      </c>
      <c r="BN92" s="130" t="str">
        <f t="shared" si="131"/>
        <v/>
      </c>
      <c r="BO92" s="130" t="str">
        <f t="shared" si="131"/>
        <v/>
      </c>
      <c r="BP92" s="130" t="str">
        <f t="shared" si="131"/>
        <v/>
      </c>
      <c r="BQ92" s="131" t="str">
        <f t="shared" si="131"/>
        <v/>
      </c>
      <c r="BR92" s="132" t="s">
        <v>0</v>
      </c>
    </row>
    <row r="93" spans="1:70" ht="19.5" hidden="1" customHeight="1" outlineLevel="2">
      <c r="A93" s="324"/>
      <c r="B93" s="115"/>
      <c r="C93" s="116"/>
      <c r="D93" s="117"/>
      <c r="E93" s="118"/>
      <c r="F93" s="118"/>
      <c r="G93" s="118" t="s">
        <v>677</v>
      </c>
      <c r="H93" s="118"/>
      <c r="I93" s="119" t="s">
        <v>457</v>
      </c>
      <c r="J93" s="120" t="s">
        <v>674</v>
      </c>
      <c r="K93" s="121" t="s">
        <v>675</v>
      </c>
      <c r="L93" s="325"/>
      <c r="M93" s="122"/>
      <c r="N93" s="123"/>
      <c r="O93" s="122">
        <f t="shared" si="125"/>
        <v>22</v>
      </c>
      <c r="P93" s="327">
        <v>45373</v>
      </c>
      <c r="Q93" s="327">
        <v>45404</v>
      </c>
      <c r="R93" s="123"/>
      <c r="S93" s="122">
        <f t="shared" si="126"/>
        <v>22</v>
      </c>
      <c r="T93" s="327">
        <v>45373</v>
      </c>
      <c r="U93" s="327">
        <v>45404</v>
      </c>
      <c r="V93" s="123"/>
      <c r="W93" s="122">
        <f t="shared" si="101"/>
        <v>95</v>
      </c>
      <c r="X93" s="327">
        <v>45544</v>
      </c>
      <c r="Y93" s="327">
        <f>X93+90+40</f>
        <v>45674</v>
      </c>
      <c r="Z93" s="125"/>
      <c r="AA93" s="126" t="s">
        <v>678</v>
      </c>
      <c r="AB93" s="125"/>
      <c r="AC93" s="127"/>
      <c r="AD93" s="126"/>
      <c r="AE93" s="126"/>
      <c r="AF93" s="128"/>
      <c r="AG93" s="128" t="s">
        <v>679</v>
      </c>
      <c r="AH93" s="129"/>
      <c r="AI93" s="326" t="str">
        <f t="shared" ref="AI93:BQ93" si="132">IFERROR(IF(AND($T93&gt;=(EOMONTH(AI$8,-1)+1),$U93&lt;AJ$8,$I93="M"),"u",""),"")</f>
        <v/>
      </c>
      <c r="AJ93" s="130" t="str">
        <f t="shared" si="132"/>
        <v/>
      </c>
      <c r="AK93" s="130" t="str">
        <f t="shared" si="132"/>
        <v/>
      </c>
      <c r="AL93" s="130" t="str">
        <f t="shared" si="132"/>
        <v/>
      </c>
      <c r="AM93" s="130" t="str">
        <f t="shared" si="132"/>
        <v/>
      </c>
      <c r="AN93" s="130" t="str">
        <f t="shared" si="132"/>
        <v/>
      </c>
      <c r="AO93" s="130" t="str">
        <f t="shared" si="132"/>
        <v/>
      </c>
      <c r="AP93" s="130" t="str">
        <f t="shared" si="132"/>
        <v/>
      </c>
      <c r="AQ93" s="130" t="str">
        <f t="shared" si="132"/>
        <v/>
      </c>
      <c r="AR93" s="130" t="str">
        <f t="shared" si="132"/>
        <v/>
      </c>
      <c r="AS93" s="130" t="str">
        <f t="shared" si="132"/>
        <v/>
      </c>
      <c r="AT93" s="130" t="str">
        <f t="shared" si="132"/>
        <v/>
      </c>
      <c r="AU93" s="130" t="str">
        <f t="shared" si="132"/>
        <v>u</v>
      </c>
      <c r="AV93" s="130" t="str">
        <f t="shared" si="132"/>
        <v/>
      </c>
      <c r="AW93" s="130" t="str">
        <f t="shared" si="132"/>
        <v/>
      </c>
      <c r="AX93" s="130" t="str">
        <f t="shared" si="132"/>
        <v/>
      </c>
      <c r="AY93" s="130" t="str">
        <f t="shared" si="132"/>
        <v/>
      </c>
      <c r="AZ93" s="130" t="str">
        <f t="shared" si="132"/>
        <v/>
      </c>
      <c r="BA93" s="130" t="str">
        <f t="shared" si="132"/>
        <v/>
      </c>
      <c r="BB93" s="130" t="str">
        <f t="shared" si="132"/>
        <v/>
      </c>
      <c r="BC93" s="130" t="str">
        <f t="shared" si="132"/>
        <v/>
      </c>
      <c r="BD93" s="130" t="str">
        <f t="shared" si="132"/>
        <v/>
      </c>
      <c r="BE93" s="130" t="str">
        <f t="shared" si="132"/>
        <v/>
      </c>
      <c r="BF93" s="130" t="str">
        <f t="shared" si="132"/>
        <v/>
      </c>
      <c r="BG93" s="130" t="str">
        <f t="shared" si="132"/>
        <v/>
      </c>
      <c r="BH93" s="130" t="str">
        <f t="shared" si="132"/>
        <v/>
      </c>
      <c r="BI93" s="130" t="str">
        <f t="shared" si="132"/>
        <v/>
      </c>
      <c r="BJ93" s="130" t="str">
        <f t="shared" si="132"/>
        <v/>
      </c>
      <c r="BK93" s="130" t="str">
        <f t="shared" si="132"/>
        <v/>
      </c>
      <c r="BL93" s="130" t="str">
        <f t="shared" si="132"/>
        <v/>
      </c>
      <c r="BM93" s="130" t="str">
        <f t="shared" si="132"/>
        <v/>
      </c>
      <c r="BN93" s="130" t="str">
        <f t="shared" si="132"/>
        <v/>
      </c>
      <c r="BO93" s="130" t="str">
        <f t="shared" si="132"/>
        <v/>
      </c>
      <c r="BP93" s="130" t="str">
        <f t="shared" si="132"/>
        <v/>
      </c>
      <c r="BQ93" s="131" t="str">
        <f t="shared" si="132"/>
        <v/>
      </c>
      <c r="BR93" s="132" t="s">
        <v>0</v>
      </c>
    </row>
    <row r="94" spans="1:70" ht="19.5" hidden="1" customHeight="1" outlineLevel="2">
      <c r="A94" s="324"/>
      <c r="B94" s="115"/>
      <c r="C94" s="116"/>
      <c r="D94" s="117"/>
      <c r="E94" s="118"/>
      <c r="F94" s="118"/>
      <c r="G94" s="118" t="s">
        <v>680</v>
      </c>
      <c r="H94" s="118"/>
      <c r="I94" s="119" t="s">
        <v>457</v>
      </c>
      <c r="J94" s="120" t="s">
        <v>674</v>
      </c>
      <c r="K94" s="121" t="s">
        <v>675</v>
      </c>
      <c r="L94" s="325"/>
      <c r="M94" s="122"/>
      <c r="N94" s="123"/>
      <c r="O94" s="122">
        <f t="shared" si="125"/>
        <v>0</v>
      </c>
      <c r="P94" s="327"/>
      <c r="Q94" s="327"/>
      <c r="R94" s="123"/>
      <c r="S94" s="122">
        <f t="shared" si="126"/>
        <v>0</v>
      </c>
      <c r="T94" s="327"/>
      <c r="U94" s="327"/>
      <c r="V94" s="123"/>
      <c r="W94" s="122">
        <f t="shared" si="101"/>
        <v>18</v>
      </c>
      <c r="X94" s="327">
        <f>Y104-30</f>
        <v>45687</v>
      </c>
      <c r="Y94" s="327">
        <f>X94+25</f>
        <v>45712</v>
      </c>
      <c r="Z94" s="125"/>
      <c r="AA94" s="126" t="s">
        <v>681</v>
      </c>
      <c r="AB94" s="125"/>
      <c r="AC94" s="127"/>
      <c r="AD94" s="126"/>
      <c r="AE94" s="126"/>
      <c r="AF94" s="128"/>
      <c r="AG94" s="128"/>
      <c r="AH94" s="129"/>
      <c r="AI94" s="326" t="str">
        <f t="shared" ref="AI94:BQ94" si="133">IFERROR(IF(AND($T94&gt;=(EOMONTH(AI$8,-1)+1),$U94&lt;AJ$8,$I94="M"),"u",""),"")</f>
        <v/>
      </c>
      <c r="AJ94" s="130" t="str">
        <f t="shared" si="133"/>
        <v/>
      </c>
      <c r="AK94" s="130" t="str">
        <f t="shared" si="133"/>
        <v/>
      </c>
      <c r="AL94" s="130" t="str">
        <f t="shared" si="133"/>
        <v/>
      </c>
      <c r="AM94" s="130" t="str">
        <f t="shared" si="133"/>
        <v/>
      </c>
      <c r="AN94" s="130" t="str">
        <f t="shared" si="133"/>
        <v/>
      </c>
      <c r="AO94" s="130" t="str">
        <f t="shared" si="133"/>
        <v/>
      </c>
      <c r="AP94" s="130" t="str">
        <f t="shared" si="133"/>
        <v/>
      </c>
      <c r="AQ94" s="130" t="str">
        <f t="shared" si="133"/>
        <v/>
      </c>
      <c r="AR94" s="130" t="str">
        <f t="shared" si="133"/>
        <v/>
      </c>
      <c r="AS94" s="130" t="str">
        <f t="shared" si="133"/>
        <v/>
      </c>
      <c r="AT94" s="130" t="str">
        <f t="shared" si="133"/>
        <v/>
      </c>
      <c r="AU94" s="130" t="str">
        <f t="shared" si="133"/>
        <v/>
      </c>
      <c r="AV94" s="130" t="str">
        <f t="shared" si="133"/>
        <v/>
      </c>
      <c r="AW94" s="130" t="str">
        <f t="shared" si="133"/>
        <v/>
      </c>
      <c r="AX94" s="130" t="str">
        <f t="shared" si="133"/>
        <v/>
      </c>
      <c r="AY94" s="130" t="str">
        <f t="shared" si="133"/>
        <v/>
      </c>
      <c r="AZ94" s="130" t="str">
        <f t="shared" si="133"/>
        <v/>
      </c>
      <c r="BA94" s="130" t="str">
        <f t="shared" si="133"/>
        <v/>
      </c>
      <c r="BB94" s="130" t="str">
        <f t="shared" si="133"/>
        <v/>
      </c>
      <c r="BC94" s="130" t="str">
        <f t="shared" si="133"/>
        <v/>
      </c>
      <c r="BD94" s="130" t="str">
        <f t="shared" si="133"/>
        <v/>
      </c>
      <c r="BE94" s="130" t="str">
        <f t="shared" si="133"/>
        <v/>
      </c>
      <c r="BF94" s="130" t="str">
        <f t="shared" si="133"/>
        <v/>
      </c>
      <c r="BG94" s="130" t="str">
        <f t="shared" si="133"/>
        <v/>
      </c>
      <c r="BH94" s="130" t="str">
        <f t="shared" si="133"/>
        <v/>
      </c>
      <c r="BI94" s="130" t="str">
        <f t="shared" si="133"/>
        <v/>
      </c>
      <c r="BJ94" s="130" t="str">
        <f t="shared" si="133"/>
        <v/>
      </c>
      <c r="BK94" s="130" t="str">
        <f t="shared" si="133"/>
        <v/>
      </c>
      <c r="BL94" s="130" t="str">
        <f t="shared" si="133"/>
        <v/>
      </c>
      <c r="BM94" s="130" t="str">
        <f t="shared" si="133"/>
        <v/>
      </c>
      <c r="BN94" s="130" t="str">
        <f t="shared" si="133"/>
        <v/>
      </c>
      <c r="BO94" s="130" t="str">
        <f t="shared" si="133"/>
        <v/>
      </c>
      <c r="BP94" s="130" t="str">
        <f t="shared" si="133"/>
        <v/>
      </c>
      <c r="BQ94" s="131" t="str">
        <f t="shared" si="133"/>
        <v/>
      </c>
      <c r="BR94" s="132" t="s">
        <v>0</v>
      </c>
    </row>
    <row r="95" spans="1:70" ht="19.5" hidden="1" customHeight="1" outlineLevel="1">
      <c r="A95" s="324"/>
      <c r="B95" s="115">
        <v>14.2</v>
      </c>
      <c r="C95" s="116"/>
      <c r="D95" s="117"/>
      <c r="E95" s="118"/>
      <c r="F95" s="118" t="s">
        <v>682</v>
      </c>
      <c r="G95" s="118"/>
      <c r="H95" s="118"/>
      <c r="I95" s="119" t="s">
        <v>457</v>
      </c>
      <c r="J95" s="120" t="s">
        <v>674</v>
      </c>
      <c r="K95" s="121" t="s">
        <v>675</v>
      </c>
      <c r="L95" s="325"/>
      <c r="M95" s="122"/>
      <c r="N95" s="123"/>
      <c r="O95" s="122">
        <f t="shared" si="125"/>
        <v>11</v>
      </c>
      <c r="P95" s="327">
        <v>45413</v>
      </c>
      <c r="Q95" s="327">
        <v>45427</v>
      </c>
      <c r="R95" s="123"/>
      <c r="S95" s="122">
        <f t="shared" si="126"/>
        <v>11</v>
      </c>
      <c r="T95" s="327">
        <v>45413</v>
      </c>
      <c r="U95" s="327">
        <v>45427</v>
      </c>
      <c r="V95" s="123"/>
      <c r="W95" s="122">
        <f t="shared" si="101"/>
        <v>4</v>
      </c>
      <c r="X95" s="327">
        <f>Y90+1</f>
        <v>45514</v>
      </c>
      <c r="Y95" s="327">
        <f>X95+5</f>
        <v>45519</v>
      </c>
      <c r="Z95" s="125"/>
      <c r="AA95" s="126"/>
      <c r="AB95" s="125"/>
      <c r="AC95" s="127"/>
      <c r="AD95" s="126"/>
      <c r="AE95" s="126"/>
      <c r="AF95" s="128"/>
      <c r="AG95" s="128" t="s">
        <v>594</v>
      </c>
      <c r="AH95" s="129"/>
      <c r="AI95" s="326" t="str">
        <f t="shared" ref="AI95:BQ95" si="134">IFERROR(IF(AND($T95&gt;=(EOMONTH(AI$8,-1)+1),$U95&lt;AJ$8,$I95="M"),"u",""),"")</f>
        <v/>
      </c>
      <c r="AJ95" s="130" t="str">
        <f t="shared" si="134"/>
        <v/>
      </c>
      <c r="AK95" s="130" t="str">
        <f t="shared" si="134"/>
        <v/>
      </c>
      <c r="AL95" s="130" t="str">
        <f t="shared" si="134"/>
        <v/>
      </c>
      <c r="AM95" s="130" t="str">
        <f t="shared" si="134"/>
        <v/>
      </c>
      <c r="AN95" s="130" t="str">
        <f t="shared" si="134"/>
        <v/>
      </c>
      <c r="AO95" s="130" t="str">
        <f t="shared" si="134"/>
        <v/>
      </c>
      <c r="AP95" s="130" t="str">
        <f t="shared" si="134"/>
        <v/>
      </c>
      <c r="AQ95" s="130" t="str">
        <f t="shared" si="134"/>
        <v/>
      </c>
      <c r="AR95" s="130" t="str">
        <f t="shared" si="134"/>
        <v/>
      </c>
      <c r="AS95" s="130" t="str">
        <f t="shared" si="134"/>
        <v/>
      </c>
      <c r="AT95" s="130" t="str">
        <f t="shared" si="134"/>
        <v/>
      </c>
      <c r="AU95" s="130" t="str">
        <f t="shared" si="134"/>
        <v/>
      </c>
      <c r="AV95" s="130" t="str">
        <f t="shared" si="134"/>
        <v>u</v>
      </c>
      <c r="AW95" s="130" t="str">
        <f t="shared" si="134"/>
        <v>u</v>
      </c>
      <c r="AX95" s="130" t="str">
        <f t="shared" si="134"/>
        <v/>
      </c>
      <c r="AY95" s="130" t="str">
        <f t="shared" si="134"/>
        <v/>
      </c>
      <c r="AZ95" s="130" t="str">
        <f t="shared" si="134"/>
        <v/>
      </c>
      <c r="BA95" s="130" t="str">
        <f t="shared" si="134"/>
        <v/>
      </c>
      <c r="BB95" s="130" t="str">
        <f t="shared" si="134"/>
        <v/>
      </c>
      <c r="BC95" s="130" t="str">
        <f t="shared" si="134"/>
        <v/>
      </c>
      <c r="BD95" s="130" t="str">
        <f t="shared" si="134"/>
        <v/>
      </c>
      <c r="BE95" s="130" t="str">
        <f t="shared" si="134"/>
        <v/>
      </c>
      <c r="BF95" s="130" t="str">
        <f t="shared" si="134"/>
        <v/>
      </c>
      <c r="BG95" s="130" t="str">
        <f t="shared" si="134"/>
        <v/>
      </c>
      <c r="BH95" s="130" t="str">
        <f t="shared" si="134"/>
        <v/>
      </c>
      <c r="BI95" s="130" t="str">
        <f t="shared" si="134"/>
        <v/>
      </c>
      <c r="BJ95" s="130" t="str">
        <f t="shared" si="134"/>
        <v/>
      </c>
      <c r="BK95" s="130" t="str">
        <f t="shared" si="134"/>
        <v/>
      </c>
      <c r="BL95" s="130" t="str">
        <f t="shared" si="134"/>
        <v/>
      </c>
      <c r="BM95" s="130" t="str">
        <f t="shared" si="134"/>
        <v/>
      </c>
      <c r="BN95" s="130" t="str">
        <f t="shared" si="134"/>
        <v/>
      </c>
      <c r="BO95" s="130" t="str">
        <f t="shared" si="134"/>
        <v/>
      </c>
      <c r="BP95" s="130" t="str">
        <f t="shared" si="134"/>
        <v/>
      </c>
      <c r="BQ95" s="131" t="str">
        <f t="shared" si="134"/>
        <v/>
      </c>
      <c r="BR95" s="132" t="s">
        <v>0</v>
      </c>
    </row>
    <row r="96" spans="1:70" ht="19.5" hidden="1" customHeight="1" outlineLevel="1">
      <c r="A96" s="356"/>
      <c r="B96" s="115">
        <v>14.3</v>
      </c>
      <c r="C96" s="357"/>
      <c r="D96" s="358"/>
      <c r="E96" s="359"/>
      <c r="F96" s="118" t="s">
        <v>683</v>
      </c>
      <c r="G96" s="359"/>
      <c r="H96" s="359"/>
      <c r="I96" s="119" t="s">
        <v>457</v>
      </c>
      <c r="J96" s="360" t="s">
        <v>684</v>
      </c>
      <c r="K96" s="361"/>
      <c r="L96" s="362"/>
      <c r="M96" s="363"/>
      <c r="N96" s="123"/>
      <c r="O96" s="122">
        <f t="shared" si="125"/>
        <v>67</v>
      </c>
      <c r="P96" s="327">
        <v>45442</v>
      </c>
      <c r="Q96" s="327">
        <v>45534</v>
      </c>
      <c r="R96" s="123"/>
      <c r="S96" s="122">
        <f t="shared" si="126"/>
        <v>67</v>
      </c>
      <c r="T96" s="327">
        <v>45442</v>
      </c>
      <c r="U96" s="327">
        <v>45534</v>
      </c>
      <c r="V96" s="123"/>
      <c r="W96" s="122">
        <f t="shared" si="101"/>
        <v>105</v>
      </c>
      <c r="X96" s="327">
        <f>MIN(X97:X102)</f>
        <v>45570</v>
      </c>
      <c r="Y96" s="327">
        <f>MAX(Y97:Y102)</f>
        <v>45717</v>
      </c>
      <c r="Z96" s="125"/>
      <c r="AA96" s="126" t="s">
        <v>685</v>
      </c>
      <c r="AB96" s="125"/>
      <c r="AC96" s="127"/>
      <c r="AD96" s="126"/>
      <c r="AE96" s="126"/>
      <c r="AF96" s="128"/>
      <c r="AG96" s="128" t="s">
        <v>686</v>
      </c>
      <c r="AH96" s="129">
        <f>Q96-P96</f>
        <v>92</v>
      </c>
      <c r="AI96" s="326" t="str">
        <f t="shared" ref="AI96:BQ96" si="135">IFERROR(IF(AND($T96&gt;=(EOMONTH(AI$8,-1)+1),$U96&lt;AJ$8,$I96="M"),"u",""),"")</f>
        <v/>
      </c>
      <c r="AJ96" s="130" t="str">
        <f t="shared" si="135"/>
        <v/>
      </c>
      <c r="AK96" s="130" t="str">
        <f t="shared" si="135"/>
        <v/>
      </c>
      <c r="AL96" s="130" t="str">
        <f t="shared" si="135"/>
        <v/>
      </c>
      <c r="AM96" s="130" t="str">
        <f t="shared" si="135"/>
        <v/>
      </c>
      <c r="AN96" s="130" t="str">
        <f t="shared" si="135"/>
        <v/>
      </c>
      <c r="AO96" s="130" t="str">
        <f t="shared" si="135"/>
        <v/>
      </c>
      <c r="AP96" s="130" t="str">
        <f t="shared" si="135"/>
        <v/>
      </c>
      <c r="AQ96" s="130" t="str">
        <f t="shared" si="135"/>
        <v/>
      </c>
      <c r="AR96" s="130" t="str">
        <f t="shared" si="135"/>
        <v/>
      </c>
      <c r="AS96" s="130" t="str">
        <f t="shared" si="135"/>
        <v/>
      </c>
      <c r="AT96" s="130" t="str">
        <f t="shared" si="135"/>
        <v/>
      </c>
      <c r="AU96" s="130" t="str">
        <f t="shared" si="135"/>
        <v/>
      </c>
      <c r="AV96" s="130" t="str">
        <f t="shared" si="135"/>
        <v/>
      </c>
      <c r="AW96" s="130" t="str">
        <f t="shared" si="135"/>
        <v/>
      </c>
      <c r="AX96" s="130" t="str">
        <f t="shared" si="135"/>
        <v/>
      </c>
      <c r="AY96" s="130" t="str">
        <f t="shared" si="135"/>
        <v/>
      </c>
      <c r="AZ96" s="130" t="str">
        <f t="shared" si="135"/>
        <v/>
      </c>
      <c r="BA96" s="130" t="str">
        <f t="shared" si="135"/>
        <v/>
      </c>
      <c r="BB96" s="130" t="str">
        <f t="shared" si="135"/>
        <v/>
      </c>
      <c r="BC96" s="130" t="str">
        <f t="shared" si="135"/>
        <v/>
      </c>
      <c r="BD96" s="130" t="str">
        <f t="shared" si="135"/>
        <v/>
      </c>
      <c r="BE96" s="130" t="str">
        <f t="shared" si="135"/>
        <v/>
      </c>
      <c r="BF96" s="130" t="str">
        <f t="shared" si="135"/>
        <v/>
      </c>
      <c r="BG96" s="130" t="str">
        <f t="shared" si="135"/>
        <v/>
      </c>
      <c r="BH96" s="130" t="str">
        <f t="shared" si="135"/>
        <v/>
      </c>
      <c r="BI96" s="130" t="str">
        <f t="shared" si="135"/>
        <v/>
      </c>
      <c r="BJ96" s="130" t="str">
        <f t="shared" si="135"/>
        <v/>
      </c>
      <c r="BK96" s="130" t="str">
        <f t="shared" si="135"/>
        <v/>
      </c>
      <c r="BL96" s="130" t="str">
        <f t="shared" si="135"/>
        <v/>
      </c>
      <c r="BM96" s="130" t="str">
        <f t="shared" si="135"/>
        <v/>
      </c>
      <c r="BN96" s="130" t="str">
        <f t="shared" si="135"/>
        <v/>
      </c>
      <c r="BO96" s="130" t="str">
        <f t="shared" si="135"/>
        <v/>
      </c>
      <c r="BP96" s="130" t="str">
        <f t="shared" si="135"/>
        <v/>
      </c>
      <c r="BQ96" s="131" t="str">
        <f t="shared" si="135"/>
        <v/>
      </c>
      <c r="BR96" s="132" t="s">
        <v>0</v>
      </c>
    </row>
    <row r="97" spans="1:70" ht="19.5" hidden="1" customHeight="1" outlineLevel="1">
      <c r="A97" s="324"/>
      <c r="B97" s="115"/>
      <c r="C97" s="116"/>
      <c r="D97" s="117"/>
      <c r="E97" s="118"/>
      <c r="F97" s="118"/>
      <c r="G97" s="118" t="s">
        <v>687</v>
      </c>
      <c r="H97" s="118"/>
      <c r="I97" s="119" t="s">
        <v>457</v>
      </c>
      <c r="J97" s="120" t="s">
        <v>684</v>
      </c>
      <c r="K97" s="121"/>
      <c r="L97" s="325"/>
      <c r="M97" s="122"/>
      <c r="N97" s="123"/>
      <c r="O97" s="122">
        <f t="shared" si="125"/>
        <v>67</v>
      </c>
      <c r="P97" s="327">
        <v>45442</v>
      </c>
      <c r="Q97" s="327">
        <v>45534</v>
      </c>
      <c r="R97" s="123"/>
      <c r="S97" s="122"/>
      <c r="T97" s="327"/>
      <c r="U97" s="327"/>
      <c r="V97" s="123"/>
      <c r="W97" s="122">
        <f t="shared" si="101"/>
        <v>0</v>
      </c>
      <c r="X97" s="327">
        <v>45570</v>
      </c>
      <c r="Y97" s="327">
        <f>X97</f>
        <v>45570</v>
      </c>
      <c r="Z97" s="125"/>
      <c r="AA97" s="126"/>
      <c r="AB97" s="125"/>
      <c r="AC97" s="127"/>
      <c r="AD97" s="126"/>
      <c r="AE97" s="126"/>
      <c r="AF97" s="128"/>
      <c r="AG97" s="128"/>
      <c r="AH97" s="129"/>
      <c r="AI97" s="326" t="str">
        <f t="shared" ref="AI97:BQ97" si="136">IFERROR(IF(AND($T97&gt;=(EOMONTH(AI$8,-1)+1),$U97&lt;AJ$8,$I97="M"),"u",""),"")</f>
        <v/>
      </c>
      <c r="AJ97" s="130" t="str">
        <f t="shared" si="136"/>
        <v/>
      </c>
      <c r="AK97" s="130" t="str">
        <f t="shared" si="136"/>
        <v/>
      </c>
      <c r="AL97" s="130" t="str">
        <f t="shared" si="136"/>
        <v/>
      </c>
      <c r="AM97" s="130" t="str">
        <f t="shared" si="136"/>
        <v/>
      </c>
      <c r="AN97" s="130" t="str">
        <f t="shared" si="136"/>
        <v/>
      </c>
      <c r="AO97" s="130" t="str">
        <f t="shared" si="136"/>
        <v/>
      </c>
      <c r="AP97" s="130" t="str">
        <f t="shared" si="136"/>
        <v/>
      </c>
      <c r="AQ97" s="130" t="str">
        <f t="shared" si="136"/>
        <v/>
      </c>
      <c r="AR97" s="130" t="str">
        <f t="shared" si="136"/>
        <v/>
      </c>
      <c r="AS97" s="130" t="str">
        <f t="shared" si="136"/>
        <v/>
      </c>
      <c r="AT97" s="130" t="str">
        <f t="shared" si="136"/>
        <v/>
      </c>
      <c r="AU97" s="130" t="str">
        <f t="shared" si="136"/>
        <v/>
      </c>
      <c r="AV97" s="130" t="str">
        <f t="shared" si="136"/>
        <v/>
      </c>
      <c r="AW97" s="130" t="str">
        <f t="shared" si="136"/>
        <v/>
      </c>
      <c r="AX97" s="130" t="str">
        <f t="shared" si="136"/>
        <v/>
      </c>
      <c r="AY97" s="130" t="str">
        <f t="shared" si="136"/>
        <v/>
      </c>
      <c r="AZ97" s="130" t="str">
        <f t="shared" si="136"/>
        <v/>
      </c>
      <c r="BA97" s="130" t="str">
        <f t="shared" si="136"/>
        <v/>
      </c>
      <c r="BB97" s="130" t="str">
        <f t="shared" si="136"/>
        <v/>
      </c>
      <c r="BC97" s="130" t="str">
        <f t="shared" si="136"/>
        <v/>
      </c>
      <c r="BD97" s="130" t="str">
        <f t="shared" si="136"/>
        <v/>
      </c>
      <c r="BE97" s="130" t="str">
        <f t="shared" si="136"/>
        <v/>
      </c>
      <c r="BF97" s="130" t="str">
        <f t="shared" si="136"/>
        <v/>
      </c>
      <c r="BG97" s="130" t="str">
        <f t="shared" si="136"/>
        <v/>
      </c>
      <c r="BH97" s="130" t="str">
        <f t="shared" si="136"/>
        <v/>
      </c>
      <c r="BI97" s="130" t="str">
        <f t="shared" si="136"/>
        <v/>
      </c>
      <c r="BJ97" s="130" t="str">
        <f t="shared" si="136"/>
        <v/>
      </c>
      <c r="BK97" s="130" t="str">
        <f t="shared" si="136"/>
        <v/>
      </c>
      <c r="BL97" s="130" t="str">
        <f t="shared" si="136"/>
        <v/>
      </c>
      <c r="BM97" s="130" t="str">
        <f t="shared" si="136"/>
        <v/>
      </c>
      <c r="BN97" s="130" t="str">
        <f t="shared" si="136"/>
        <v/>
      </c>
      <c r="BO97" s="130" t="str">
        <f t="shared" si="136"/>
        <v/>
      </c>
      <c r="BP97" s="130" t="str">
        <f t="shared" si="136"/>
        <v/>
      </c>
      <c r="BQ97" s="131" t="str">
        <f t="shared" si="136"/>
        <v/>
      </c>
      <c r="BR97" s="132" t="s">
        <v>0</v>
      </c>
    </row>
    <row r="98" spans="1:70" ht="19.5" hidden="1" customHeight="1" outlineLevel="1">
      <c r="A98" s="324"/>
      <c r="B98" s="115"/>
      <c r="C98" s="116"/>
      <c r="D98" s="117"/>
      <c r="E98" s="118"/>
      <c r="F98" s="118"/>
      <c r="G98" s="118" t="s">
        <v>688</v>
      </c>
      <c r="H98" s="118"/>
      <c r="I98" s="119" t="s">
        <v>457</v>
      </c>
      <c r="J98" s="120" t="s">
        <v>684</v>
      </c>
      <c r="K98" s="121"/>
      <c r="L98" s="325"/>
      <c r="M98" s="122"/>
      <c r="N98" s="123"/>
      <c r="O98" s="122">
        <f t="shared" si="125"/>
        <v>67</v>
      </c>
      <c r="P98" s="327">
        <v>45442</v>
      </c>
      <c r="Q98" s="327">
        <v>45534</v>
      </c>
      <c r="R98" s="123"/>
      <c r="S98" s="122"/>
      <c r="T98" s="327"/>
      <c r="U98" s="327"/>
      <c r="V98" s="123"/>
      <c r="W98" s="122">
        <f t="shared" si="101"/>
        <v>4</v>
      </c>
      <c r="X98" s="327">
        <v>45574</v>
      </c>
      <c r="Y98" s="327">
        <v>45579</v>
      </c>
      <c r="Z98" s="125"/>
      <c r="AA98" s="126"/>
      <c r="AB98" s="125"/>
      <c r="AC98" s="127"/>
      <c r="AD98" s="126"/>
      <c r="AE98" s="126"/>
      <c r="AF98" s="128"/>
      <c r="AG98" s="128" t="s">
        <v>643</v>
      </c>
      <c r="AH98" s="129"/>
      <c r="AI98" s="326" t="str">
        <f t="shared" ref="AI98:BQ98" si="137">IFERROR(IF(AND($T98&gt;=(EOMONTH(AI$8,-1)+1),$U98&lt;AJ$8,$I98="M"),"u",""),"")</f>
        <v/>
      </c>
      <c r="AJ98" s="130" t="str">
        <f t="shared" si="137"/>
        <v/>
      </c>
      <c r="AK98" s="130" t="str">
        <f t="shared" si="137"/>
        <v/>
      </c>
      <c r="AL98" s="130" t="str">
        <f t="shared" si="137"/>
        <v/>
      </c>
      <c r="AM98" s="130" t="str">
        <f t="shared" si="137"/>
        <v/>
      </c>
      <c r="AN98" s="130" t="str">
        <f t="shared" si="137"/>
        <v/>
      </c>
      <c r="AO98" s="130" t="str">
        <f t="shared" si="137"/>
        <v/>
      </c>
      <c r="AP98" s="130" t="str">
        <f t="shared" si="137"/>
        <v/>
      </c>
      <c r="AQ98" s="130" t="str">
        <f t="shared" si="137"/>
        <v/>
      </c>
      <c r="AR98" s="130" t="str">
        <f t="shared" si="137"/>
        <v/>
      </c>
      <c r="AS98" s="130" t="str">
        <f t="shared" si="137"/>
        <v/>
      </c>
      <c r="AT98" s="130" t="str">
        <f t="shared" si="137"/>
        <v/>
      </c>
      <c r="AU98" s="130" t="str">
        <f t="shared" si="137"/>
        <v/>
      </c>
      <c r="AV98" s="130" t="str">
        <f t="shared" si="137"/>
        <v/>
      </c>
      <c r="AW98" s="130" t="str">
        <f t="shared" si="137"/>
        <v/>
      </c>
      <c r="AX98" s="130" t="str">
        <f t="shared" si="137"/>
        <v/>
      </c>
      <c r="AY98" s="130" t="str">
        <f t="shared" si="137"/>
        <v/>
      </c>
      <c r="AZ98" s="130" t="str">
        <f t="shared" si="137"/>
        <v/>
      </c>
      <c r="BA98" s="130" t="str">
        <f t="shared" si="137"/>
        <v/>
      </c>
      <c r="BB98" s="130" t="str">
        <f t="shared" si="137"/>
        <v/>
      </c>
      <c r="BC98" s="130" t="str">
        <f t="shared" si="137"/>
        <v/>
      </c>
      <c r="BD98" s="130" t="str">
        <f t="shared" si="137"/>
        <v/>
      </c>
      <c r="BE98" s="130" t="str">
        <f t="shared" si="137"/>
        <v/>
      </c>
      <c r="BF98" s="130" t="str">
        <f t="shared" si="137"/>
        <v/>
      </c>
      <c r="BG98" s="130" t="str">
        <f t="shared" si="137"/>
        <v/>
      </c>
      <c r="BH98" s="130" t="str">
        <f t="shared" si="137"/>
        <v/>
      </c>
      <c r="BI98" s="130" t="str">
        <f t="shared" si="137"/>
        <v/>
      </c>
      <c r="BJ98" s="130" t="str">
        <f t="shared" si="137"/>
        <v/>
      </c>
      <c r="BK98" s="130" t="str">
        <f t="shared" si="137"/>
        <v/>
      </c>
      <c r="BL98" s="130" t="str">
        <f t="shared" si="137"/>
        <v/>
      </c>
      <c r="BM98" s="130" t="str">
        <f t="shared" si="137"/>
        <v/>
      </c>
      <c r="BN98" s="130" t="str">
        <f t="shared" si="137"/>
        <v/>
      </c>
      <c r="BO98" s="130" t="str">
        <f t="shared" si="137"/>
        <v/>
      </c>
      <c r="BP98" s="130" t="str">
        <f t="shared" si="137"/>
        <v/>
      </c>
      <c r="BQ98" s="131" t="str">
        <f t="shared" si="137"/>
        <v/>
      </c>
      <c r="BR98" s="132" t="s">
        <v>0</v>
      </c>
    </row>
    <row r="99" spans="1:70" ht="19.5" hidden="1" customHeight="1" outlineLevel="1">
      <c r="A99" s="324"/>
      <c r="B99" s="115"/>
      <c r="C99" s="116"/>
      <c r="D99" s="117"/>
      <c r="E99" s="118"/>
      <c r="F99" s="118"/>
      <c r="G99" s="118" t="s">
        <v>689</v>
      </c>
      <c r="H99" s="118"/>
      <c r="I99" s="119" t="s">
        <v>457</v>
      </c>
      <c r="J99" s="120" t="s">
        <v>684</v>
      </c>
      <c r="K99" s="121"/>
      <c r="L99" s="325"/>
      <c r="M99" s="122"/>
      <c r="N99" s="123"/>
      <c r="O99" s="122">
        <f t="shared" si="125"/>
        <v>67</v>
      </c>
      <c r="P99" s="327">
        <v>45442</v>
      </c>
      <c r="Q99" s="327">
        <v>45534</v>
      </c>
      <c r="R99" s="123"/>
      <c r="S99" s="122"/>
      <c r="T99" s="327"/>
      <c r="U99" s="327"/>
      <c r="V99" s="123"/>
      <c r="W99" s="122">
        <f t="shared" si="101"/>
        <v>68</v>
      </c>
      <c r="X99" s="327">
        <v>45579</v>
      </c>
      <c r="Y99" s="327">
        <v>45672</v>
      </c>
      <c r="Z99" s="125"/>
      <c r="AA99" s="126"/>
      <c r="AB99" s="125"/>
      <c r="AC99" s="127"/>
      <c r="AD99" s="126"/>
      <c r="AE99" s="126"/>
      <c r="AF99" s="128"/>
      <c r="AG99" s="128"/>
      <c r="AH99" s="129"/>
      <c r="AI99" s="326" t="str">
        <f t="shared" ref="AI99:BQ99" si="138">IFERROR(IF(AND($T99&gt;=(EOMONTH(AI$8,-1)+1),$U99&lt;AJ$8,$I99="M"),"u",""),"")</f>
        <v/>
      </c>
      <c r="AJ99" s="130" t="str">
        <f t="shared" si="138"/>
        <v/>
      </c>
      <c r="AK99" s="130" t="str">
        <f t="shared" si="138"/>
        <v/>
      </c>
      <c r="AL99" s="130" t="str">
        <f t="shared" si="138"/>
        <v/>
      </c>
      <c r="AM99" s="130" t="str">
        <f t="shared" si="138"/>
        <v/>
      </c>
      <c r="AN99" s="130" t="str">
        <f t="shared" si="138"/>
        <v/>
      </c>
      <c r="AO99" s="130" t="str">
        <f t="shared" si="138"/>
        <v/>
      </c>
      <c r="AP99" s="130" t="str">
        <f t="shared" si="138"/>
        <v/>
      </c>
      <c r="AQ99" s="130" t="str">
        <f t="shared" si="138"/>
        <v/>
      </c>
      <c r="AR99" s="130" t="str">
        <f t="shared" si="138"/>
        <v/>
      </c>
      <c r="AS99" s="130" t="str">
        <f t="shared" si="138"/>
        <v/>
      </c>
      <c r="AT99" s="130" t="str">
        <f t="shared" si="138"/>
        <v/>
      </c>
      <c r="AU99" s="130" t="str">
        <f t="shared" si="138"/>
        <v/>
      </c>
      <c r="AV99" s="130" t="str">
        <f t="shared" si="138"/>
        <v/>
      </c>
      <c r="AW99" s="130" t="str">
        <f t="shared" si="138"/>
        <v/>
      </c>
      <c r="AX99" s="130" t="str">
        <f t="shared" si="138"/>
        <v/>
      </c>
      <c r="AY99" s="130" t="str">
        <f t="shared" si="138"/>
        <v/>
      </c>
      <c r="AZ99" s="130" t="str">
        <f t="shared" si="138"/>
        <v/>
      </c>
      <c r="BA99" s="130" t="str">
        <f t="shared" si="138"/>
        <v/>
      </c>
      <c r="BB99" s="130" t="str">
        <f t="shared" si="138"/>
        <v/>
      </c>
      <c r="BC99" s="130" t="str">
        <f t="shared" si="138"/>
        <v/>
      </c>
      <c r="BD99" s="130" t="str">
        <f t="shared" si="138"/>
        <v/>
      </c>
      <c r="BE99" s="130" t="str">
        <f t="shared" si="138"/>
        <v/>
      </c>
      <c r="BF99" s="130" t="str">
        <f t="shared" si="138"/>
        <v/>
      </c>
      <c r="BG99" s="130" t="str">
        <f t="shared" si="138"/>
        <v/>
      </c>
      <c r="BH99" s="130" t="str">
        <f t="shared" si="138"/>
        <v/>
      </c>
      <c r="BI99" s="130" t="str">
        <f t="shared" si="138"/>
        <v/>
      </c>
      <c r="BJ99" s="130" t="str">
        <f t="shared" si="138"/>
        <v/>
      </c>
      <c r="BK99" s="130" t="str">
        <f t="shared" si="138"/>
        <v/>
      </c>
      <c r="BL99" s="130" t="str">
        <f t="shared" si="138"/>
        <v/>
      </c>
      <c r="BM99" s="130" t="str">
        <f t="shared" si="138"/>
        <v/>
      </c>
      <c r="BN99" s="130" t="str">
        <f t="shared" si="138"/>
        <v/>
      </c>
      <c r="BO99" s="130" t="str">
        <f t="shared" si="138"/>
        <v/>
      </c>
      <c r="BP99" s="130" t="str">
        <f t="shared" si="138"/>
        <v/>
      </c>
      <c r="BQ99" s="131" t="str">
        <f t="shared" si="138"/>
        <v/>
      </c>
      <c r="BR99" s="132" t="s">
        <v>0</v>
      </c>
    </row>
    <row r="100" spans="1:70" ht="19.5" hidden="1" customHeight="1" outlineLevel="1">
      <c r="A100" s="324"/>
      <c r="B100" s="115"/>
      <c r="C100" s="116"/>
      <c r="D100" s="117"/>
      <c r="E100" s="118"/>
      <c r="F100" s="118"/>
      <c r="G100" s="118" t="s">
        <v>690</v>
      </c>
      <c r="H100" s="118"/>
      <c r="I100" s="119"/>
      <c r="J100" s="120"/>
      <c r="K100" s="121"/>
      <c r="L100" s="325"/>
      <c r="M100" s="122"/>
      <c r="N100" s="123"/>
      <c r="O100" s="122">
        <f t="shared" si="125"/>
        <v>67</v>
      </c>
      <c r="P100" s="327">
        <v>45442</v>
      </c>
      <c r="Q100" s="327">
        <v>45534</v>
      </c>
      <c r="R100" s="123"/>
      <c r="S100" s="122"/>
      <c r="T100" s="327"/>
      <c r="U100" s="327"/>
      <c r="V100" s="123"/>
      <c r="W100" s="122">
        <f t="shared" si="101"/>
        <v>33</v>
      </c>
      <c r="X100" s="327">
        <f>Y99</f>
        <v>45672</v>
      </c>
      <c r="Y100" s="327">
        <f>X100+45</f>
        <v>45717</v>
      </c>
      <c r="Z100" s="125"/>
      <c r="AA100" s="126"/>
      <c r="AB100" s="125"/>
      <c r="AC100" s="127"/>
      <c r="AD100" s="126"/>
      <c r="AE100" s="126"/>
      <c r="AF100" s="128"/>
      <c r="AG100" s="128"/>
      <c r="AH100" s="129"/>
      <c r="AI100" s="326" t="str">
        <f t="shared" ref="AI100:BQ100" si="139">IFERROR(IF(AND($T100&gt;=(EOMONTH(AI$8,-1)+1),$U100&lt;AJ$8,$I100="M"),"u",""),"")</f>
        <v/>
      </c>
      <c r="AJ100" s="130" t="str">
        <f t="shared" si="139"/>
        <v/>
      </c>
      <c r="AK100" s="130" t="str">
        <f t="shared" si="139"/>
        <v/>
      </c>
      <c r="AL100" s="130" t="str">
        <f t="shared" si="139"/>
        <v/>
      </c>
      <c r="AM100" s="130" t="str">
        <f t="shared" si="139"/>
        <v/>
      </c>
      <c r="AN100" s="130" t="str">
        <f t="shared" si="139"/>
        <v/>
      </c>
      <c r="AO100" s="130" t="str">
        <f t="shared" si="139"/>
        <v/>
      </c>
      <c r="AP100" s="130" t="str">
        <f t="shared" si="139"/>
        <v/>
      </c>
      <c r="AQ100" s="130" t="str">
        <f t="shared" si="139"/>
        <v/>
      </c>
      <c r="AR100" s="130" t="str">
        <f t="shared" si="139"/>
        <v/>
      </c>
      <c r="AS100" s="130" t="str">
        <f t="shared" si="139"/>
        <v/>
      </c>
      <c r="AT100" s="130" t="str">
        <f t="shared" si="139"/>
        <v/>
      </c>
      <c r="AU100" s="130" t="str">
        <f t="shared" si="139"/>
        <v/>
      </c>
      <c r="AV100" s="130" t="str">
        <f t="shared" si="139"/>
        <v/>
      </c>
      <c r="AW100" s="130" t="str">
        <f t="shared" si="139"/>
        <v/>
      </c>
      <c r="AX100" s="130" t="str">
        <f t="shared" si="139"/>
        <v/>
      </c>
      <c r="AY100" s="130" t="str">
        <f t="shared" si="139"/>
        <v/>
      </c>
      <c r="AZ100" s="130" t="str">
        <f t="shared" si="139"/>
        <v/>
      </c>
      <c r="BA100" s="130" t="str">
        <f t="shared" si="139"/>
        <v/>
      </c>
      <c r="BB100" s="130" t="str">
        <f t="shared" si="139"/>
        <v/>
      </c>
      <c r="BC100" s="130" t="str">
        <f t="shared" si="139"/>
        <v/>
      </c>
      <c r="BD100" s="130" t="str">
        <f t="shared" si="139"/>
        <v/>
      </c>
      <c r="BE100" s="130" t="str">
        <f t="shared" si="139"/>
        <v/>
      </c>
      <c r="BF100" s="130" t="str">
        <f t="shared" si="139"/>
        <v/>
      </c>
      <c r="BG100" s="130" t="str">
        <f t="shared" si="139"/>
        <v/>
      </c>
      <c r="BH100" s="130" t="str">
        <f t="shared" si="139"/>
        <v/>
      </c>
      <c r="BI100" s="130" t="str">
        <f t="shared" si="139"/>
        <v/>
      </c>
      <c r="BJ100" s="130" t="str">
        <f t="shared" si="139"/>
        <v/>
      </c>
      <c r="BK100" s="130" t="str">
        <f t="shared" si="139"/>
        <v/>
      </c>
      <c r="BL100" s="130" t="str">
        <f t="shared" si="139"/>
        <v/>
      </c>
      <c r="BM100" s="130" t="str">
        <f t="shared" si="139"/>
        <v/>
      </c>
      <c r="BN100" s="130" t="str">
        <f t="shared" si="139"/>
        <v/>
      </c>
      <c r="BO100" s="130" t="str">
        <f t="shared" si="139"/>
        <v/>
      </c>
      <c r="BP100" s="130" t="str">
        <f t="shared" si="139"/>
        <v/>
      </c>
      <c r="BQ100" s="131" t="str">
        <f t="shared" si="139"/>
        <v/>
      </c>
      <c r="BR100" s="132" t="s">
        <v>0</v>
      </c>
    </row>
    <row r="101" spans="1:70" ht="19.5" hidden="1" customHeight="1" outlineLevel="1">
      <c r="A101" s="324"/>
      <c r="B101" s="115"/>
      <c r="C101" s="116"/>
      <c r="D101" s="117"/>
      <c r="E101" s="118"/>
      <c r="F101" s="118"/>
      <c r="G101" s="118" t="s">
        <v>691</v>
      </c>
      <c r="H101" s="118"/>
      <c r="I101" s="119"/>
      <c r="J101" s="120"/>
      <c r="K101" s="121"/>
      <c r="L101" s="325"/>
      <c r="M101" s="122"/>
      <c r="N101" s="123"/>
      <c r="O101" s="122">
        <f t="shared" si="125"/>
        <v>67</v>
      </c>
      <c r="P101" s="327">
        <v>45442</v>
      </c>
      <c r="Q101" s="327">
        <v>45534</v>
      </c>
      <c r="R101" s="123"/>
      <c r="S101" s="122"/>
      <c r="T101" s="327"/>
      <c r="U101" s="327"/>
      <c r="V101" s="123"/>
      <c r="W101" s="122">
        <f t="shared" si="101"/>
        <v>35</v>
      </c>
      <c r="X101" s="327">
        <v>45599</v>
      </c>
      <c r="Y101" s="327">
        <v>45648</v>
      </c>
      <c r="Z101" s="125"/>
      <c r="AA101" s="126"/>
      <c r="AB101" s="125"/>
      <c r="AC101" s="127"/>
      <c r="AD101" s="126"/>
      <c r="AE101" s="126"/>
      <c r="AF101" s="128"/>
      <c r="AG101" s="128"/>
      <c r="AH101" s="129"/>
      <c r="AI101" s="326" t="str">
        <f t="shared" ref="AI101:BQ101" si="140">IFERROR(IF(AND($T101&gt;=(EOMONTH(AI$8,-1)+1),$U101&lt;AJ$8,$I101="M"),"u",""),"")</f>
        <v/>
      </c>
      <c r="AJ101" s="130" t="str">
        <f t="shared" si="140"/>
        <v/>
      </c>
      <c r="AK101" s="130" t="str">
        <f t="shared" si="140"/>
        <v/>
      </c>
      <c r="AL101" s="130" t="str">
        <f t="shared" si="140"/>
        <v/>
      </c>
      <c r="AM101" s="130" t="str">
        <f t="shared" si="140"/>
        <v/>
      </c>
      <c r="AN101" s="130" t="str">
        <f t="shared" si="140"/>
        <v/>
      </c>
      <c r="AO101" s="130" t="str">
        <f t="shared" si="140"/>
        <v/>
      </c>
      <c r="AP101" s="130" t="str">
        <f t="shared" si="140"/>
        <v/>
      </c>
      <c r="AQ101" s="130" t="str">
        <f t="shared" si="140"/>
        <v/>
      </c>
      <c r="AR101" s="130" t="str">
        <f t="shared" si="140"/>
        <v/>
      </c>
      <c r="AS101" s="130" t="str">
        <f t="shared" si="140"/>
        <v/>
      </c>
      <c r="AT101" s="130" t="str">
        <f t="shared" si="140"/>
        <v/>
      </c>
      <c r="AU101" s="130" t="str">
        <f t="shared" si="140"/>
        <v/>
      </c>
      <c r="AV101" s="130" t="str">
        <f t="shared" si="140"/>
        <v/>
      </c>
      <c r="AW101" s="130" t="str">
        <f t="shared" si="140"/>
        <v/>
      </c>
      <c r="AX101" s="130" t="str">
        <f t="shared" si="140"/>
        <v/>
      </c>
      <c r="AY101" s="130" t="str">
        <f t="shared" si="140"/>
        <v/>
      </c>
      <c r="AZ101" s="130" t="str">
        <f t="shared" si="140"/>
        <v/>
      </c>
      <c r="BA101" s="130" t="str">
        <f t="shared" si="140"/>
        <v/>
      </c>
      <c r="BB101" s="130" t="str">
        <f t="shared" si="140"/>
        <v/>
      </c>
      <c r="BC101" s="130" t="str">
        <f t="shared" si="140"/>
        <v/>
      </c>
      <c r="BD101" s="130" t="str">
        <f t="shared" si="140"/>
        <v/>
      </c>
      <c r="BE101" s="130" t="str">
        <f t="shared" si="140"/>
        <v/>
      </c>
      <c r="BF101" s="130" t="str">
        <f t="shared" si="140"/>
        <v/>
      </c>
      <c r="BG101" s="130" t="str">
        <f t="shared" si="140"/>
        <v/>
      </c>
      <c r="BH101" s="130" t="str">
        <f t="shared" si="140"/>
        <v/>
      </c>
      <c r="BI101" s="130" t="str">
        <f t="shared" si="140"/>
        <v/>
      </c>
      <c r="BJ101" s="130" t="str">
        <f t="shared" si="140"/>
        <v/>
      </c>
      <c r="BK101" s="130" t="str">
        <f t="shared" si="140"/>
        <v/>
      </c>
      <c r="BL101" s="130" t="str">
        <f t="shared" si="140"/>
        <v/>
      </c>
      <c r="BM101" s="130" t="str">
        <f t="shared" si="140"/>
        <v/>
      </c>
      <c r="BN101" s="130" t="str">
        <f t="shared" si="140"/>
        <v/>
      </c>
      <c r="BO101" s="130" t="str">
        <f t="shared" si="140"/>
        <v/>
      </c>
      <c r="BP101" s="130" t="str">
        <f t="shared" si="140"/>
        <v/>
      </c>
      <c r="BQ101" s="131" t="str">
        <f t="shared" si="140"/>
        <v/>
      </c>
      <c r="BR101" s="132" t="s">
        <v>0</v>
      </c>
    </row>
    <row r="102" spans="1:70" ht="19.5" hidden="1" customHeight="1" outlineLevel="1">
      <c r="A102" s="324"/>
      <c r="B102" s="115"/>
      <c r="C102" s="116"/>
      <c r="D102" s="117"/>
      <c r="E102" s="118"/>
      <c r="F102" s="118"/>
      <c r="G102" s="118" t="s">
        <v>692</v>
      </c>
      <c r="H102" s="118"/>
      <c r="I102" s="119"/>
      <c r="J102" s="120"/>
      <c r="K102" s="121"/>
      <c r="L102" s="325"/>
      <c r="M102" s="122"/>
      <c r="N102" s="123"/>
      <c r="O102" s="122">
        <f t="shared" si="125"/>
        <v>67</v>
      </c>
      <c r="P102" s="327">
        <v>45442</v>
      </c>
      <c r="Q102" s="327">
        <v>45534</v>
      </c>
      <c r="R102" s="123"/>
      <c r="S102" s="122"/>
      <c r="T102" s="327"/>
      <c r="U102" s="327"/>
      <c r="V102" s="123"/>
      <c r="W102" s="122">
        <f t="shared" si="101"/>
        <v>12</v>
      </c>
      <c r="X102" s="327">
        <v>45672</v>
      </c>
      <c r="Y102" s="327">
        <v>45687</v>
      </c>
      <c r="Z102" s="125"/>
      <c r="AA102" s="126"/>
      <c r="AB102" s="125"/>
      <c r="AC102" s="127"/>
      <c r="AD102" s="126"/>
      <c r="AE102" s="126"/>
      <c r="AF102" s="128"/>
      <c r="AG102" s="128"/>
      <c r="AH102" s="129"/>
      <c r="AI102" s="326" t="str">
        <f t="shared" ref="AI102:BQ102" si="141">IFERROR(IF(AND($T102&gt;=(EOMONTH(AI$8,-1)+1),$U102&lt;AJ$8,$I102="M"),"u",""),"")</f>
        <v/>
      </c>
      <c r="AJ102" s="130" t="str">
        <f t="shared" si="141"/>
        <v/>
      </c>
      <c r="AK102" s="130" t="str">
        <f t="shared" si="141"/>
        <v/>
      </c>
      <c r="AL102" s="130" t="str">
        <f t="shared" si="141"/>
        <v/>
      </c>
      <c r="AM102" s="130" t="str">
        <f t="shared" si="141"/>
        <v/>
      </c>
      <c r="AN102" s="130" t="str">
        <f t="shared" si="141"/>
        <v/>
      </c>
      <c r="AO102" s="130" t="str">
        <f t="shared" si="141"/>
        <v/>
      </c>
      <c r="AP102" s="130" t="str">
        <f t="shared" si="141"/>
        <v/>
      </c>
      <c r="AQ102" s="130" t="str">
        <f t="shared" si="141"/>
        <v/>
      </c>
      <c r="AR102" s="130" t="str">
        <f t="shared" si="141"/>
        <v/>
      </c>
      <c r="AS102" s="130" t="str">
        <f t="shared" si="141"/>
        <v/>
      </c>
      <c r="AT102" s="130" t="str">
        <f t="shared" si="141"/>
        <v/>
      </c>
      <c r="AU102" s="130" t="str">
        <f t="shared" si="141"/>
        <v/>
      </c>
      <c r="AV102" s="130" t="str">
        <f t="shared" si="141"/>
        <v/>
      </c>
      <c r="AW102" s="130" t="str">
        <f t="shared" si="141"/>
        <v/>
      </c>
      <c r="AX102" s="130" t="str">
        <f t="shared" si="141"/>
        <v/>
      </c>
      <c r="AY102" s="130" t="str">
        <f t="shared" si="141"/>
        <v/>
      </c>
      <c r="AZ102" s="130" t="str">
        <f t="shared" si="141"/>
        <v/>
      </c>
      <c r="BA102" s="130" t="str">
        <f t="shared" si="141"/>
        <v/>
      </c>
      <c r="BB102" s="130" t="str">
        <f t="shared" si="141"/>
        <v/>
      </c>
      <c r="BC102" s="130" t="str">
        <f t="shared" si="141"/>
        <v/>
      </c>
      <c r="BD102" s="130" t="str">
        <f t="shared" si="141"/>
        <v/>
      </c>
      <c r="BE102" s="130" t="str">
        <f t="shared" si="141"/>
        <v/>
      </c>
      <c r="BF102" s="130" t="str">
        <f t="shared" si="141"/>
        <v/>
      </c>
      <c r="BG102" s="130" t="str">
        <f t="shared" si="141"/>
        <v/>
      </c>
      <c r="BH102" s="130" t="str">
        <f t="shared" si="141"/>
        <v/>
      </c>
      <c r="BI102" s="130" t="str">
        <f t="shared" si="141"/>
        <v/>
      </c>
      <c r="BJ102" s="130" t="str">
        <f t="shared" si="141"/>
        <v/>
      </c>
      <c r="BK102" s="130" t="str">
        <f t="shared" si="141"/>
        <v/>
      </c>
      <c r="BL102" s="130" t="str">
        <f t="shared" si="141"/>
        <v/>
      </c>
      <c r="BM102" s="130" t="str">
        <f t="shared" si="141"/>
        <v/>
      </c>
      <c r="BN102" s="130" t="str">
        <f t="shared" si="141"/>
        <v/>
      </c>
      <c r="BO102" s="130" t="str">
        <f t="shared" si="141"/>
        <v/>
      </c>
      <c r="BP102" s="130" t="str">
        <f t="shared" si="141"/>
        <v/>
      </c>
      <c r="BQ102" s="131" t="str">
        <f t="shared" si="141"/>
        <v/>
      </c>
      <c r="BR102" s="132" t="s">
        <v>0</v>
      </c>
    </row>
    <row r="103" spans="1:70" ht="19.5" hidden="1" customHeight="1" outlineLevel="1">
      <c r="A103" s="324"/>
      <c r="B103" s="115">
        <v>14.4</v>
      </c>
      <c r="C103" s="116"/>
      <c r="D103" s="117"/>
      <c r="E103" s="118"/>
      <c r="F103" s="359" t="s">
        <v>693</v>
      </c>
      <c r="G103" s="359"/>
      <c r="H103" s="146"/>
      <c r="I103" s="119"/>
      <c r="J103" s="120" t="s">
        <v>694</v>
      </c>
      <c r="K103" s="121" t="s">
        <v>695</v>
      </c>
      <c r="L103" s="362"/>
      <c r="M103" s="363"/>
      <c r="N103" s="123"/>
      <c r="O103" s="122">
        <f t="shared" si="125"/>
        <v>23</v>
      </c>
      <c r="P103" s="327">
        <f>Q96-30</f>
        <v>45504</v>
      </c>
      <c r="Q103" s="327">
        <f>Q96</f>
        <v>45534</v>
      </c>
      <c r="R103" s="123"/>
      <c r="S103" s="122">
        <f t="shared" ref="S103:S104" si="142">NETWORKDAYS(T103,U103)</f>
        <v>23</v>
      </c>
      <c r="T103" s="327">
        <f>U96-30</f>
        <v>45504</v>
      </c>
      <c r="U103" s="327">
        <f>U96</f>
        <v>45534</v>
      </c>
      <c r="V103" s="123"/>
      <c r="W103" s="122">
        <f t="shared" si="101"/>
        <v>22</v>
      </c>
      <c r="X103" s="327">
        <f>Y96-30</f>
        <v>45687</v>
      </c>
      <c r="Y103" s="327">
        <f>Y96</f>
        <v>45717</v>
      </c>
      <c r="Z103" s="125"/>
      <c r="AA103" s="126"/>
      <c r="AB103" s="125"/>
      <c r="AC103" s="127"/>
      <c r="AD103" s="126" t="s">
        <v>696</v>
      </c>
      <c r="AE103" s="126"/>
      <c r="AF103" s="128"/>
      <c r="AG103" s="128"/>
      <c r="AH103" s="129"/>
      <c r="AI103" s="326" t="str">
        <f t="shared" ref="AI103:BQ103" si="143">IFERROR(IF(AND($T103&gt;=(EOMONTH(AI$8,-1)+1),$U103&lt;AJ$8,$I103="M"),"u",""),"")</f>
        <v/>
      </c>
      <c r="AJ103" s="130" t="str">
        <f t="shared" si="143"/>
        <v/>
      </c>
      <c r="AK103" s="130" t="str">
        <f t="shared" si="143"/>
        <v/>
      </c>
      <c r="AL103" s="130" t="str">
        <f t="shared" si="143"/>
        <v/>
      </c>
      <c r="AM103" s="130" t="str">
        <f t="shared" si="143"/>
        <v/>
      </c>
      <c r="AN103" s="130" t="str">
        <f t="shared" si="143"/>
        <v/>
      </c>
      <c r="AO103" s="130" t="str">
        <f t="shared" si="143"/>
        <v/>
      </c>
      <c r="AP103" s="130" t="str">
        <f t="shared" si="143"/>
        <v/>
      </c>
      <c r="AQ103" s="130" t="str">
        <f t="shared" si="143"/>
        <v/>
      </c>
      <c r="AR103" s="130" t="str">
        <f t="shared" si="143"/>
        <v/>
      </c>
      <c r="AS103" s="130" t="str">
        <f t="shared" si="143"/>
        <v/>
      </c>
      <c r="AT103" s="130" t="str">
        <f t="shared" si="143"/>
        <v/>
      </c>
      <c r="AU103" s="130" t="str">
        <f t="shared" si="143"/>
        <v/>
      </c>
      <c r="AV103" s="130" t="str">
        <f t="shared" si="143"/>
        <v/>
      </c>
      <c r="AW103" s="130" t="str">
        <f t="shared" si="143"/>
        <v/>
      </c>
      <c r="AX103" s="130" t="str">
        <f t="shared" si="143"/>
        <v/>
      </c>
      <c r="AY103" s="130" t="str">
        <f t="shared" si="143"/>
        <v/>
      </c>
      <c r="AZ103" s="130" t="str">
        <f t="shared" si="143"/>
        <v/>
      </c>
      <c r="BA103" s="130" t="str">
        <f t="shared" si="143"/>
        <v/>
      </c>
      <c r="BB103" s="130" t="str">
        <f t="shared" si="143"/>
        <v/>
      </c>
      <c r="BC103" s="130" t="str">
        <f t="shared" si="143"/>
        <v/>
      </c>
      <c r="BD103" s="130" t="str">
        <f t="shared" si="143"/>
        <v/>
      </c>
      <c r="BE103" s="130" t="str">
        <f t="shared" si="143"/>
        <v/>
      </c>
      <c r="BF103" s="130" t="str">
        <f t="shared" si="143"/>
        <v/>
      </c>
      <c r="BG103" s="130" t="str">
        <f t="shared" si="143"/>
        <v/>
      </c>
      <c r="BH103" s="130" t="str">
        <f t="shared" si="143"/>
        <v/>
      </c>
      <c r="BI103" s="130" t="str">
        <f t="shared" si="143"/>
        <v/>
      </c>
      <c r="BJ103" s="130" t="str">
        <f t="shared" si="143"/>
        <v/>
      </c>
      <c r="BK103" s="130" t="str">
        <f t="shared" si="143"/>
        <v/>
      </c>
      <c r="BL103" s="130" t="str">
        <f t="shared" si="143"/>
        <v/>
      </c>
      <c r="BM103" s="130" t="str">
        <f t="shared" si="143"/>
        <v/>
      </c>
      <c r="BN103" s="130" t="str">
        <f t="shared" si="143"/>
        <v/>
      </c>
      <c r="BO103" s="130" t="str">
        <f t="shared" si="143"/>
        <v/>
      </c>
      <c r="BP103" s="130" t="str">
        <f t="shared" si="143"/>
        <v/>
      </c>
      <c r="BQ103" s="131" t="str">
        <f t="shared" si="143"/>
        <v/>
      </c>
      <c r="BR103" s="132" t="s">
        <v>0</v>
      </c>
    </row>
    <row r="104" spans="1:70" ht="19.5" hidden="1" customHeight="1" outlineLevel="1">
      <c r="A104" s="324"/>
      <c r="B104" s="115">
        <v>14.5</v>
      </c>
      <c r="C104" s="116"/>
      <c r="D104" s="117"/>
      <c r="E104" s="118"/>
      <c r="F104" s="359" t="s">
        <v>697</v>
      </c>
      <c r="G104" s="147"/>
      <c r="H104" s="146"/>
      <c r="I104" s="119"/>
      <c r="J104" s="120" t="s">
        <v>698</v>
      </c>
      <c r="K104" s="121" t="s">
        <v>699</v>
      </c>
      <c r="L104" s="362"/>
      <c r="M104" s="363"/>
      <c r="N104" s="123"/>
      <c r="O104" s="364">
        <f t="shared" si="125"/>
        <v>23</v>
      </c>
      <c r="P104" s="148">
        <f t="shared" ref="P104:Q104" si="144">P103</f>
        <v>45504</v>
      </c>
      <c r="Q104" s="148">
        <f t="shared" si="144"/>
        <v>45534</v>
      </c>
      <c r="R104" s="123"/>
      <c r="S104" s="364">
        <f t="shared" si="142"/>
        <v>23</v>
      </c>
      <c r="T104" s="148">
        <f t="shared" ref="T104:U104" si="145">T103</f>
        <v>45504</v>
      </c>
      <c r="U104" s="148">
        <f t="shared" si="145"/>
        <v>45534</v>
      </c>
      <c r="V104" s="123"/>
      <c r="W104" s="364">
        <f t="shared" si="101"/>
        <v>22</v>
      </c>
      <c r="X104" s="148">
        <f t="shared" ref="X104:Y104" si="146">X103</f>
        <v>45687</v>
      </c>
      <c r="Y104" s="148">
        <f t="shared" si="146"/>
        <v>45717</v>
      </c>
      <c r="Z104" s="125"/>
      <c r="AA104" s="126"/>
      <c r="AB104" s="125"/>
      <c r="AC104" s="127"/>
      <c r="AD104" s="126" t="s">
        <v>700</v>
      </c>
      <c r="AE104" s="126"/>
      <c r="AF104" s="128"/>
      <c r="AG104" s="128"/>
      <c r="AH104" s="129"/>
      <c r="AI104" s="326" t="str">
        <f t="shared" ref="AI104:BQ104" si="147">IFERROR(IF(AND($T104&gt;=(EOMONTH(AI$8,-1)+1),$U104&lt;AJ$8,$I104="M"),"u",""),"")</f>
        <v/>
      </c>
      <c r="AJ104" s="130" t="str">
        <f t="shared" si="147"/>
        <v/>
      </c>
      <c r="AK104" s="130" t="str">
        <f t="shared" si="147"/>
        <v/>
      </c>
      <c r="AL104" s="130" t="str">
        <f t="shared" si="147"/>
        <v/>
      </c>
      <c r="AM104" s="130" t="str">
        <f t="shared" si="147"/>
        <v/>
      </c>
      <c r="AN104" s="130" t="str">
        <f t="shared" si="147"/>
        <v/>
      </c>
      <c r="AO104" s="130" t="str">
        <f t="shared" si="147"/>
        <v/>
      </c>
      <c r="AP104" s="130" t="str">
        <f t="shared" si="147"/>
        <v/>
      </c>
      <c r="AQ104" s="130" t="str">
        <f t="shared" si="147"/>
        <v/>
      </c>
      <c r="AR104" s="130" t="str">
        <f t="shared" si="147"/>
        <v/>
      </c>
      <c r="AS104" s="130" t="str">
        <f t="shared" si="147"/>
        <v/>
      </c>
      <c r="AT104" s="130" t="str">
        <f t="shared" si="147"/>
        <v/>
      </c>
      <c r="AU104" s="130" t="str">
        <f t="shared" si="147"/>
        <v/>
      </c>
      <c r="AV104" s="130" t="str">
        <f t="shared" si="147"/>
        <v/>
      </c>
      <c r="AW104" s="130" t="str">
        <f t="shared" si="147"/>
        <v/>
      </c>
      <c r="AX104" s="130" t="str">
        <f t="shared" si="147"/>
        <v/>
      </c>
      <c r="AY104" s="130" t="str">
        <f t="shared" si="147"/>
        <v/>
      </c>
      <c r="AZ104" s="130" t="str">
        <f t="shared" si="147"/>
        <v/>
      </c>
      <c r="BA104" s="130" t="str">
        <f t="shared" si="147"/>
        <v/>
      </c>
      <c r="BB104" s="130" t="str">
        <f t="shared" si="147"/>
        <v/>
      </c>
      <c r="BC104" s="130" t="str">
        <f t="shared" si="147"/>
        <v/>
      </c>
      <c r="BD104" s="130" t="str">
        <f t="shared" si="147"/>
        <v/>
      </c>
      <c r="BE104" s="130" t="str">
        <f t="shared" si="147"/>
        <v/>
      </c>
      <c r="BF104" s="130" t="str">
        <f t="shared" si="147"/>
        <v/>
      </c>
      <c r="BG104" s="130" t="str">
        <f t="shared" si="147"/>
        <v/>
      </c>
      <c r="BH104" s="130" t="str">
        <f t="shared" si="147"/>
        <v/>
      </c>
      <c r="BI104" s="130" t="str">
        <f t="shared" si="147"/>
        <v/>
      </c>
      <c r="BJ104" s="130" t="str">
        <f t="shared" si="147"/>
        <v/>
      </c>
      <c r="BK104" s="130" t="str">
        <f t="shared" si="147"/>
        <v/>
      </c>
      <c r="BL104" s="130" t="str">
        <f t="shared" si="147"/>
        <v/>
      </c>
      <c r="BM104" s="130" t="str">
        <f t="shared" si="147"/>
        <v/>
      </c>
      <c r="BN104" s="130" t="str">
        <f t="shared" si="147"/>
        <v/>
      </c>
      <c r="BO104" s="130" t="str">
        <f t="shared" si="147"/>
        <v/>
      </c>
      <c r="BP104" s="130" t="str">
        <f t="shared" si="147"/>
        <v/>
      </c>
      <c r="BQ104" s="131" t="str">
        <f t="shared" si="147"/>
        <v/>
      </c>
      <c r="BR104" s="132" t="s">
        <v>0</v>
      </c>
    </row>
    <row r="105" spans="1:70" ht="19.5" customHeight="1" collapsed="1">
      <c r="A105" s="341">
        <v>15</v>
      </c>
      <c r="B105" s="342"/>
      <c r="C105" s="343"/>
      <c r="D105" s="344"/>
      <c r="E105" s="345" t="s">
        <v>701</v>
      </c>
      <c r="F105" s="345"/>
      <c r="G105" s="345"/>
      <c r="H105" s="345"/>
      <c r="I105" s="119"/>
      <c r="J105" s="346"/>
      <c r="K105" s="347"/>
      <c r="L105" s="348"/>
      <c r="M105" s="349"/>
      <c r="N105" s="123"/>
      <c r="O105" s="122" t="e">
        <f t="shared" si="125"/>
        <v>#REF!</v>
      </c>
      <c r="P105" s="350" t="e">
        <f>MIN(P106:P113)</f>
        <v>#REF!</v>
      </c>
      <c r="Q105" s="351" t="e">
        <f>MAX(Q106:Q113)</f>
        <v>#REF!</v>
      </c>
      <c r="R105" s="123"/>
      <c r="S105" s="350">
        <f>MIN(S106:S113)</f>
        <v>1</v>
      </c>
      <c r="T105" s="351" t="e">
        <f t="shared" ref="T105:U105" si="148">MAX(T106:T113)</f>
        <v>#REF!</v>
      </c>
      <c r="U105" s="351" t="e">
        <f t="shared" si="148"/>
        <v>#REF!</v>
      </c>
      <c r="V105" s="123"/>
      <c r="W105" s="122">
        <f t="shared" si="101"/>
        <v>120</v>
      </c>
      <c r="X105" s="350">
        <f>MIN(X106:X113)</f>
        <v>45441</v>
      </c>
      <c r="Y105" s="351">
        <f>MAX(Y106:Y113)</f>
        <v>45608</v>
      </c>
      <c r="Z105" s="125"/>
      <c r="AA105" s="352"/>
      <c r="AB105" s="125"/>
      <c r="AC105" s="353" t="e">
        <f>AVERAGE(AC106:AC120)</f>
        <v>#DIV/0!</v>
      </c>
      <c r="AD105" s="352"/>
      <c r="AE105" s="352"/>
      <c r="AF105" s="354"/>
      <c r="AG105" s="354"/>
      <c r="AH105" s="129"/>
      <c r="AI105" s="355" t="str">
        <f t="shared" ref="AI105:BQ105" si="149">IFERROR(IF(AND($T105&gt;=(EOMONTH(AI$8,-1)+1),$U105&lt;AJ$8,$I105="M"),"u",""),"")</f>
        <v/>
      </c>
      <c r="AJ105" s="143" t="str">
        <f t="shared" si="149"/>
        <v/>
      </c>
      <c r="AK105" s="143" t="str">
        <f t="shared" si="149"/>
        <v/>
      </c>
      <c r="AL105" s="143" t="str">
        <f t="shared" si="149"/>
        <v/>
      </c>
      <c r="AM105" s="143" t="str">
        <f t="shared" si="149"/>
        <v/>
      </c>
      <c r="AN105" s="143" t="str">
        <f t="shared" si="149"/>
        <v/>
      </c>
      <c r="AO105" s="143" t="str">
        <f t="shared" si="149"/>
        <v/>
      </c>
      <c r="AP105" s="143" t="str">
        <f t="shared" si="149"/>
        <v/>
      </c>
      <c r="AQ105" s="143" t="str">
        <f t="shared" si="149"/>
        <v/>
      </c>
      <c r="AR105" s="143" t="str">
        <f t="shared" si="149"/>
        <v/>
      </c>
      <c r="AS105" s="143" t="str">
        <f t="shared" si="149"/>
        <v/>
      </c>
      <c r="AT105" s="143" t="str">
        <f t="shared" si="149"/>
        <v/>
      </c>
      <c r="AU105" s="143" t="str">
        <f t="shared" si="149"/>
        <v/>
      </c>
      <c r="AV105" s="143" t="str">
        <f t="shared" si="149"/>
        <v/>
      </c>
      <c r="AW105" s="143" t="str">
        <f t="shared" si="149"/>
        <v/>
      </c>
      <c r="AX105" s="143" t="str">
        <f t="shared" si="149"/>
        <v/>
      </c>
      <c r="AY105" s="143" t="str">
        <f t="shared" si="149"/>
        <v/>
      </c>
      <c r="AZ105" s="143" t="str">
        <f t="shared" si="149"/>
        <v/>
      </c>
      <c r="BA105" s="143" t="str">
        <f t="shared" si="149"/>
        <v/>
      </c>
      <c r="BB105" s="143" t="str">
        <f t="shared" si="149"/>
        <v/>
      </c>
      <c r="BC105" s="143" t="str">
        <f t="shared" si="149"/>
        <v/>
      </c>
      <c r="BD105" s="143" t="str">
        <f t="shared" si="149"/>
        <v/>
      </c>
      <c r="BE105" s="143" t="str">
        <f t="shared" si="149"/>
        <v/>
      </c>
      <c r="BF105" s="143" t="str">
        <f t="shared" si="149"/>
        <v/>
      </c>
      <c r="BG105" s="143" t="str">
        <f t="shared" si="149"/>
        <v/>
      </c>
      <c r="BH105" s="143" t="str">
        <f t="shared" si="149"/>
        <v/>
      </c>
      <c r="BI105" s="143" t="str">
        <f t="shared" si="149"/>
        <v/>
      </c>
      <c r="BJ105" s="143" t="str">
        <f t="shared" si="149"/>
        <v/>
      </c>
      <c r="BK105" s="143" t="str">
        <f t="shared" si="149"/>
        <v/>
      </c>
      <c r="BL105" s="143" t="str">
        <f t="shared" si="149"/>
        <v/>
      </c>
      <c r="BM105" s="143" t="str">
        <f t="shared" si="149"/>
        <v/>
      </c>
      <c r="BN105" s="143" t="str">
        <f t="shared" si="149"/>
        <v/>
      </c>
      <c r="BO105" s="143" t="str">
        <f t="shared" si="149"/>
        <v/>
      </c>
      <c r="BP105" s="143" t="str">
        <f t="shared" si="149"/>
        <v/>
      </c>
      <c r="BQ105" s="144" t="str">
        <f t="shared" si="149"/>
        <v/>
      </c>
      <c r="BR105" s="132" t="s">
        <v>0</v>
      </c>
    </row>
    <row r="106" spans="1:70" ht="19.5" hidden="1" customHeight="1" outlineLevel="1">
      <c r="A106" s="324"/>
      <c r="B106" s="115">
        <v>15.1</v>
      </c>
      <c r="C106" s="116"/>
      <c r="D106" s="117"/>
      <c r="E106" s="118"/>
      <c r="F106" s="118" t="s">
        <v>702</v>
      </c>
      <c r="G106" s="118"/>
      <c r="H106" s="118"/>
      <c r="I106" s="119"/>
      <c r="J106" s="120" t="s">
        <v>703</v>
      </c>
      <c r="K106" s="121" t="s">
        <v>663</v>
      </c>
      <c r="L106" s="325" t="s">
        <v>547</v>
      </c>
      <c r="M106" s="122"/>
      <c r="N106" s="123"/>
      <c r="O106" s="122" t="e">
        <f t="shared" si="125"/>
        <v>#REF!</v>
      </c>
      <c r="P106" s="327" t="e">
        <f>#REF!</f>
        <v>#REF!</v>
      </c>
      <c r="Q106" s="327" t="e">
        <f>P106</f>
        <v>#REF!</v>
      </c>
      <c r="R106" s="123"/>
      <c r="S106" s="365">
        <v>1</v>
      </c>
      <c r="T106" s="327" t="e">
        <f>#REF!</f>
        <v>#REF!</v>
      </c>
      <c r="U106" s="327" t="e">
        <f>T106</f>
        <v>#REF!</v>
      </c>
      <c r="V106" s="123"/>
      <c r="W106" s="122">
        <f t="shared" si="101"/>
        <v>43</v>
      </c>
      <c r="X106" s="327">
        <v>45505</v>
      </c>
      <c r="Y106" s="327">
        <v>45565</v>
      </c>
      <c r="Z106" s="125"/>
      <c r="AA106" s="126"/>
      <c r="AB106" s="125"/>
      <c r="AC106" s="127"/>
      <c r="AD106" s="126"/>
      <c r="AE106" s="126"/>
      <c r="AF106" s="128"/>
      <c r="AG106" s="128"/>
      <c r="AH106" s="129"/>
      <c r="AI106" s="326" t="str">
        <f t="shared" ref="AI106:BQ106" si="150">IFERROR(IF(AND($T106&gt;=(EOMONTH(AI$8,-1)+1),$U106&lt;AJ$8,$I106="M"),"u",""),"")</f>
        <v/>
      </c>
      <c r="AJ106" s="130" t="str">
        <f t="shared" si="150"/>
        <v/>
      </c>
      <c r="AK106" s="130" t="str">
        <f t="shared" si="150"/>
        <v/>
      </c>
      <c r="AL106" s="130" t="str">
        <f t="shared" si="150"/>
        <v/>
      </c>
      <c r="AM106" s="130" t="str">
        <f t="shared" si="150"/>
        <v/>
      </c>
      <c r="AN106" s="130" t="str">
        <f t="shared" si="150"/>
        <v/>
      </c>
      <c r="AO106" s="130" t="str">
        <f t="shared" si="150"/>
        <v/>
      </c>
      <c r="AP106" s="130" t="str">
        <f t="shared" si="150"/>
        <v/>
      </c>
      <c r="AQ106" s="130" t="str">
        <f t="shared" si="150"/>
        <v/>
      </c>
      <c r="AR106" s="130" t="str">
        <f t="shared" si="150"/>
        <v/>
      </c>
      <c r="AS106" s="130" t="str">
        <f t="shared" si="150"/>
        <v/>
      </c>
      <c r="AT106" s="130" t="str">
        <f t="shared" si="150"/>
        <v/>
      </c>
      <c r="AU106" s="130" t="str">
        <f t="shared" si="150"/>
        <v/>
      </c>
      <c r="AV106" s="130" t="str">
        <f t="shared" si="150"/>
        <v/>
      </c>
      <c r="AW106" s="130" t="str">
        <f t="shared" si="150"/>
        <v/>
      </c>
      <c r="AX106" s="130" t="str">
        <f t="shared" si="150"/>
        <v/>
      </c>
      <c r="AY106" s="130" t="str">
        <f t="shared" si="150"/>
        <v/>
      </c>
      <c r="AZ106" s="130" t="str">
        <f t="shared" si="150"/>
        <v/>
      </c>
      <c r="BA106" s="130" t="str">
        <f t="shared" si="150"/>
        <v/>
      </c>
      <c r="BB106" s="130" t="str">
        <f t="shared" si="150"/>
        <v/>
      </c>
      <c r="BC106" s="130" t="str">
        <f t="shared" si="150"/>
        <v/>
      </c>
      <c r="BD106" s="130" t="str">
        <f t="shared" si="150"/>
        <v/>
      </c>
      <c r="BE106" s="130" t="str">
        <f t="shared" si="150"/>
        <v/>
      </c>
      <c r="BF106" s="130" t="str">
        <f t="shared" si="150"/>
        <v/>
      </c>
      <c r="BG106" s="130" t="str">
        <f t="shared" si="150"/>
        <v/>
      </c>
      <c r="BH106" s="130" t="str">
        <f t="shared" si="150"/>
        <v/>
      </c>
      <c r="BI106" s="130" t="str">
        <f t="shared" si="150"/>
        <v/>
      </c>
      <c r="BJ106" s="130" t="str">
        <f t="shared" si="150"/>
        <v/>
      </c>
      <c r="BK106" s="130" t="str">
        <f t="shared" si="150"/>
        <v/>
      </c>
      <c r="BL106" s="130" t="str">
        <f t="shared" si="150"/>
        <v/>
      </c>
      <c r="BM106" s="130" t="str">
        <f t="shared" si="150"/>
        <v/>
      </c>
      <c r="BN106" s="130" t="str">
        <f t="shared" si="150"/>
        <v/>
      </c>
      <c r="BO106" s="130" t="str">
        <f t="shared" si="150"/>
        <v/>
      </c>
      <c r="BP106" s="130" t="str">
        <f t="shared" si="150"/>
        <v/>
      </c>
      <c r="BQ106" s="131" t="str">
        <f t="shared" si="150"/>
        <v/>
      </c>
      <c r="BR106" s="132" t="s">
        <v>0</v>
      </c>
    </row>
    <row r="107" spans="1:70" ht="19.5" hidden="1" customHeight="1" outlineLevel="1">
      <c r="A107" s="324"/>
      <c r="B107" s="115"/>
      <c r="C107" s="116"/>
      <c r="D107" s="117"/>
      <c r="E107" s="118"/>
      <c r="F107" s="118"/>
      <c r="G107" s="118" t="s">
        <v>704</v>
      </c>
      <c r="H107" s="118"/>
      <c r="I107" s="119"/>
      <c r="J107" s="120"/>
      <c r="K107" s="121"/>
      <c r="L107" s="325"/>
      <c r="M107" s="122"/>
      <c r="N107" s="123"/>
      <c r="O107" s="122">
        <f t="shared" si="125"/>
        <v>1</v>
      </c>
      <c r="P107" s="327">
        <v>45441</v>
      </c>
      <c r="Q107" s="327">
        <v>45441</v>
      </c>
      <c r="R107" s="123"/>
      <c r="S107" s="365"/>
      <c r="T107" s="327"/>
      <c r="U107" s="327"/>
      <c r="V107" s="123"/>
      <c r="W107" s="122">
        <f t="shared" si="101"/>
        <v>16</v>
      </c>
      <c r="X107" s="327">
        <v>45527</v>
      </c>
      <c r="Y107" s="327">
        <v>45550</v>
      </c>
      <c r="Z107" s="125"/>
      <c r="AA107" s="126"/>
      <c r="AB107" s="125"/>
      <c r="AC107" s="127"/>
      <c r="AD107" s="126"/>
      <c r="AE107" s="126"/>
      <c r="AF107" s="128"/>
      <c r="AG107" s="128"/>
      <c r="AH107" s="129"/>
      <c r="AI107" s="326" t="str">
        <f t="shared" ref="AI107:BQ107" si="151">IFERROR(IF(AND($T107&gt;=(EOMONTH(AI$8,-1)+1),$U107&lt;AJ$8,$I107="M"),"u",""),"")</f>
        <v/>
      </c>
      <c r="AJ107" s="130" t="str">
        <f t="shared" si="151"/>
        <v/>
      </c>
      <c r="AK107" s="130" t="str">
        <f t="shared" si="151"/>
        <v/>
      </c>
      <c r="AL107" s="130" t="str">
        <f t="shared" si="151"/>
        <v/>
      </c>
      <c r="AM107" s="130" t="str">
        <f t="shared" si="151"/>
        <v/>
      </c>
      <c r="AN107" s="130" t="str">
        <f t="shared" si="151"/>
        <v/>
      </c>
      <c r="AO107" s="130" t="str">
        <f t="shared" si="151"/>
        <v/>
      </c>
      <c r="AP107" s="130" t="str">
        <f t="shared" si="151"/>
        <v/>
      </c>
      <c r="AQ107" s="130" t="str">
        <f t="shared" si="151"/>
        <v/>
      </c>
      <c r="AR107" s="130" t="str">
        <f t="shared" si="151"/>
        <v/>
      </c>
      <c r="AS107" s="130" t="str">
        <f t="shared" si="151"/>
        <v/>
      </c>
      <c r="AT107" s="130" t="str">
        <f t="shared" si="151"/>
        <v/>
      </c>
      <c r="AU107" s="130" t="str">
        <f t="shared" si="151"/>
        <v/>
      </c>
      <c r="AV107" s="130" t="str">
        <f t="shared" si="151"/>
        <v/>
      </c>
      <c r="AW107" s="130" t="str">
        <f t="shared" si="151"/>
        <v/>
      </c>
      <c r="AX107" s="130" t="str">
        <f t="shared" si="151"/>
        <v/>
      </c>
      <c r="AY107" s="130" t="str">
        <f t="shared" si="151"/>
        <v/>
      </c>
      <c r="AZ107" s="130" t="str">
        <f t="shared" si="151"/>
        <v/>
      </c>
      <c r="BA107" s="130" t="str">
        <f t="shared" si="151"/>
        <v/>
      </c>
      <c r="BB107" s="130" t="str">
        <f t="shared" si="151"/>
        <v/>
      </c>
      <c r="BC107" s="130" t="str">
        <f t="shared" si="151"/>
        <v/>
      </c>
      <c r="BD107" s="130" t="str">
        <f t="shared" si="151"/>
        <v/>
      </c>
      <c r="BE107" s="130" t="str">
        <f t="shared" si="151"/>
        <v/>
      </c>
      <c r="BF107" s="130" t="str">
        <f t="shared" si="151"/>
        <v/>
      </c>
      <c r="BG107" s="130" t="str">
        <f t="shared" si="151"/>
        <v/>
      </c>
      <c r="BH107" s="130" t="str">
        <f t="shared" si="151"/>
        <v/>
      </c>
      <c r="BI107" s="130" t="str">
        <f t="shared" si="151"/>
        <v/>
      </c>
      <c r="BJ107" s="130" t="str">
        <f t="shared" si="151"/>
        <v/>
      </c>
      <c r="BK107" s="130" t="str">
        <f t="shared" si="151"/>
        <v/>
      </c>
      <c r="BL107" s="130" t="str">
        <f t="shared" si="151"/>
        <v/>
      </c>
      <c r="BM107" s="130" t="str">
        <f t="shared" si="151"/>
        <v/>
      </c>
      <c r="BN107" s="130" t="str">
        <f t="shared" si="151"/>
        <v/>
      </c>
      <c r="BO107" s="130" t="str">
        <f t="shared" si="151"/>
        <v/>
      </c>
      <c r="BP107" s="130" t="str">
        <f t="shared" si="151"/>
        <v/>
      </c>
      <c r="BQ107" s="131" t="str">
        <f t="shared" si="151"/>
        <v/>
      </c>
      <c r="BR107" s="132" t="s">
        <v>0</v>
      </c>
    </row>
    <row r="108" spans="1:70" ht="19.5" hidden="1" customHeight="1" outlineLevel="1">
      <c r="A108" s="324"/>
      <c r="B108" s="115">
        <v>15.2</v>
      </c>
      <c r="C108" s="116"/>
      <c r="D108" s="117"/>
      <c r="E108" s="118"/>
      <c r="F108" s="118" t="s">
        <v>705</v>
      </c>
      <c r="G108" s="118"/>
      <c r="H108" s="118"/>
      <c r="I108" s="119" t="s">
        <v>457</v>
      </c>
      <c r="J108" s="120" t="s">
        <v>674</v>
      </c>
      <c r="K108" s="121" t="s">
        <v>675</v>
      </c>
      <c r="L108" s="325" t="s">
        <v>547</v>
      </c>
      <c r="M108" s="122"/>
      <c r="N108" s="123"/>
      <c r="O108" s="122">
        <f t="shared" si="125"/>
        <v>1</v>
      </c>
      <c r="P108" s="327">
        <v>45441</v>
      </c>
      <c r="Q108" s="327">
        <v>45441</v>
      </c>
      <c r="R108" s="123"/>
      <c r="S108" s="365">
        <v>1</v>
      </c>
      <c r="T108" s="327">
        <v>45441</v>
      </c>
      <c r="U108" s="327">
        <v>45441</v>
      </c>
      <c r="V108" s="123"/>
      <c r="W108" s="122">
        <f t="shared" si="101"/>
        <v>1</v>
      </c>
      <c r="X108" s="327">
        <v>45441</v>
      </c>
      <c r="Y108" s="327">
        <f>X108</f>
        <v>45441</v>
      </c>
      <c r="Z108" s="125"/>
      <c r="AA108" s="126"/>
      <c r="AB108" s="125"/>
      <c r="AC108" s="127"/>
      <c r="AD108" s="126"/>
      <c r="AE108" s="126"/>
      <c r="AF108" s="128"/>
      <c r="AG108" s="128"/>
      <c r="AH108" s="129"/>
      <c r="AI108" s="326" t="str">
        <f t="shared" ref="AI108:BQ108" si="152">IFERROR(IF(AND($T108&gt;=(EOMONTH(AI$8,-1)+1),$U108&lt;AJ$8,$I108="M"),"u",""),"")</f>
        <v/>
      </c>
      <c r="AJ108" s="130" t="str">
        <f t="shared" si="152"/>
        <v/>
      </c>
      <c r="AK108" s="130" t="str">
        <f t="shared" si="152"/>
        <v/>
      </c>
      <c r="AL108" s="130" t="str">
        <f t="shared" si="152"/>
        <v/>
      </c>
      <c r="AM108" s="130" t="str">
        <f t="shared" si="152"/>
        <v/>
      </c>
      <c r="AN108" s="130" t="str">
        <f t="shared" si="152"/>
        <v/>
      </c>
      <c r="AO108" s="130" t="str">
        <f t="shared" si="152"/>
        <v/>
      </c>
      <c r="AP108" s="130" t="str">
        <f t="shared" si="152"/>
        <v/>
      </c>
      <c r="AQ108" s="130" t="str">
        <f t="shared" si="152"/>
        <v/>
      </c>
      <c r="AR108" s="130" t="str">
        <f t="shared" si="152"/>
        <v/>
      </c>
      <c r="AS108" s="130" t="str">
        <f t="shared" si="152"/>
        <v/>
      </c>
      <c r="AT108" s="130" t="str">
        <f t="shared" si="152"/>
        <v/>
      </c>
      <c r="AU108" s="130" t="str">
        <f t="shared" si="152"/>
        <v/>
      </c>
      <c r="AV108" s="130" t="str">
        <f t="shared" si="152"/>
        <v>u</v>
      </c>
      <c r="AW108" s="130" t="str">
        <f t="shared" si="152"/>
        <v>u</v>
      </c>
      <c r="AX108" s="130" t="str">
        <f t="shared" si="152"/>
        <v/>
      </c>
      <c r="AY108" s="130" t="str">
        <f t="shared" si="152"/>
        <v/>
      </c>
      <c r="AZ108" s="130" t="str">
        <f t="shared" si="152"/>
        <v/>
      </c>
      <c r="BA108" s="130" t="str">
        <f t="shared" si="152"/>
        <v/>
      </c>
      <c r="BB108" s="130" t="str">
        <f t="shared" si="152"/>
        <v/>
      </c>
      <c r="BC108" s="130" t="str">
        <f t="shared" si="152"/>
        <v/>
      </c>
      <c r="BD108" s="130" t="str">
        <f t="shared" si="152"/>
        <v/>
      </c>
      <c r="BE108" s="130" t="str">
        <f t="shared" si="152"/>
        <v/>
      </c>
      <c r="BF108" s="130" t="str">
        <f t="shared" si="152"/>
        <v/>
      </c>
      <c r="BG108" s="130" t="str">
        <f t="shared" si="152"/>
        <v/>
      </c>
      <c r="BH108" s="130" t="str">
        <f t="shared" si="152"/>
        <v/>
      </c>
      <c r="BI108" s="130" t="str">
        <f t="shared" si="152"/>
        <v/>
      </c>
      <c r="BJ108" s="130" t="str">
        <f t="shared" si="152"/>
        <v/>
      </c>
      <c r="BK108" s="130" t="str">
        <f t="shared" si="152"/>
        <v/>
      </c>
      <c r="BL108" s="130" t="str">
        <f t="shared" si="152"/>
        <v/>
      </c>
      <c r="BM108" s="130" t="str">
        <f t="shared" si="152"/>
        <v/>
      </c>
      <c r="BN108" s="130" t="str">
        <f t="shared" si="152"/>
        <v/>
      </c>
      <c r="BO108" s="130" t="str">
        <f t="shared" si="152"/>
        <v/>
      </c>
      <c r="BP108" s="130" t="str">
        <f t="shared" si="152"/>
        <v/>
      </c>
      <c r="BQ108" s="131" t="str">
        <f t="shared" si="152"/>
        <v/>
      </c>
      <c r="BR108" s="132" t="s">
        <v>0</v>
      </c>
    </row>
    <row r="109" spans="1:70" ht="19.5" hidden="1" customHeight="1" outlineLevel="1">
      <c r="A109" s="356"/>
      <c r="B109" s="115">
        <v>15.3</v>
      </c>
      <c r="C109" s="357"/>
      <c r="D109" s="358"/>
      <c r="E109" s="359"/>
      <c r="F109" s="359" t="s">
        <v>706</v>
      </c>
      <c r="G109" s="359"/>
      <c r="H109" s="359"/>
      <c r="I109" s="119" t="s">
        <v>457</v>
      </c>
      <c r="J109" s="360" t="s">
        <v>684</v>
      </c>
      <c r="K109" s="361"/>
      <c r="L109" s="362" t="s">
        <v>568</v>
      </c>
      <c r="M109" s="363" t="s">
        <v>578</v>
      </c>
      <c r="N109" s="123"/>
      <c r="O109" s="122">
        <f t="shared" si="125"/>
        <v>0</v>
      </c>
      <c r="P109" s="327">
        <f>P113</f>
        <v>45458</v>
      </c>
      <c r="Q109" s="327">
        <f>P109</f>
        <v>45458</v>
      </c>
      <c r="R109" s="123"/>
      <c r="S109" s="365">
        <v>1</v>
      </c>
      <c r="T109" s="327">
        <f>$T$113</f>
        <v>45458</v>
      </c>
      <c r="U109" s="327">
        <f>T109</f>
        <v>45458</v>
      </c>
      <c r="V109" s="123"/>
      <c r="W109" s="122">
        <f t="shared" si="101"/>
        <v>90</v>
      </c>
      <c r="X109" s="327">
        <v>45483</v>
      </c>
      <c r="Y109" s="327">
        <v>45608</v>
      </c>
      <c r="Z109" s="125"/>
      <c r="AA109" s="126"/>
      <c r="AB109" s="125"/>
      <c r="AC109" s="127"/>
      <c r="AD109" s="126"/>
      <c r="AE109" s="126"/>
      <c r="AF109" s="128"/>
      <c r="AG109" s="128"/>
      <c r="AH109" s="129"/>
      <c r="AI109" s="326" t="str">
        <f t="shared" ref="AI109:BQ109" si="153">IFERROR(IF(AND($T109&gt;=(EOMONTH(AI$8,-1)+1),$U109&lt;AJ$8,$I109="M"),"u",""),"")</f>
        <v/>
      </c>
      <c r="AJ109" s="130" t="str">
        <f t="shared" si="153"/>
        <v/>
      </c>
      <c r="AK109" s="130" t="str">
        <f t="shared" si="153"/>
        <v/>
      </c>
      <c r="AL109" s="130" t="str">
        <f t="shared" si="153"/>
        <v/>
      </c>
      <c r="AM109" s="130" t="str">
        <f t="shared" si="153"/>
        <v/>
      </c>
      <c r="AN109" s="130" t="str">
        <f t="shared" si="153"/>
        <v/>
      </c>
      <c r="AO109" s="130" t="str">
        <f t="shared" si="153"/>
        <v/>
      </c>
      <c r="AP109" s="130" t="str">
        <f t="shared" si="153"/>
        <v/>
      </c>
      <c r="AQ109" s="130" t="str">
        <f t="shared" si="153"/>
        <v/>
      </c>
      <c r="AR109" s="130" t="str">
        <f t="shared" si="153"/>
        <v/>
      </c>
      <c r="AS109" s="130" t="str">
        <f t="shared" si="153"/>
        <v/>
      </c>
      <c r="AT109" s="130" t="str">
        <f t="shared" si="153"/>
        <v/>
      </c>
      <c r="AU109" s="130" t="str">
        <f t="shared" si="153"/>
        <v/>
      </c>
      <c r="AV109" s="130" t="str">
        <f t="shared" si="153"/>
        <v/>
      </c>
      <c r="AW109" s="130" t="str">
        <f t="shared" si="153"/>
        <v>u</v>
      </c>
      <c r="AX109" s="130" t="str">
        <f t="shared" si="153"/>
        <v>u</v>
      </c>
      <c r="AY109" s="130" t="str">
        <f t="shared" si="153"/>
        <v/>
      </c>
      <c r="AZ109" s="130" t="str">
        <f t="shared" si="153"/>
        <v/>
      </c>
      <c r="BA109" s="130" t="str">
        <f t="shared" si="153"/>
        <v/>
      </c>
      <c r="BB109" s="130" t="str">
        <f t="shared" si="153"/>
        <v/>
      </c>
      <c r="BC109" s="130" t="str">
        <f t="shared" si="153"/>
        <v/>
      </c>
      <c r="BD109" s="130" t="str">
        <f t="shared" si="153"/>
        <v/>
      </c>
      <c r="BE109" s="130" t="str">
        <f t="shared" si="153"/>
        <v/>
      </c>
      <c r="BF109" s="130" t="str">
        <f t="shared" si="153"/>
        <v/>
      </c>
      <c r="BG109" s="130" t="str">
        <f t="shared" si="153"/>
        <v/>
      </c>
      <c r="BH109" s="130" t="str">
        <f t="shared" si="153"/>
        <v/>
      </c>
      <c r="BI109" s="130" t="str">
        <f t="shared" si="153"/>
        <v/>
      </c>
      <c r="BJ109" s="130" t="str">
        <f t="shared" si="153"/>
        <v/>
      </c>
      <c r="BK109" s="130" t="str">
        <f t="shared" si="153"/>
        <v/>
      </c>
      <c r="BL109" s="130" t="str">
        <f t="shared" si="153"/>
        <v/>
      </c>
      <c r="BM109" s="130" t="str">
        <f t="shared" si="153"/>
        <v/>
      </c>
      <c r="BN109" s="130" t="str">
        <f t="shared" si="153"/>
        <v/>
      </c>
      <c r="BO109" s="130" t="str">
        <f t="shared" si="153"/>
        <v/>
      </c>
      <c r="BP109" s="130" t="str">
        <f t="shared" si="153"/>
        <v/>
      </c>
      <c r="BQ109" s="131" t="str">
        <f t="shared" si="153"/>
        <v/>
      </c>
      <c r="BR109" s="132" t="s">
        <v>0</v>
      </c>
    </row>
    <row r="110" spans="1:70" ht="19.5" hidden="1" customHeight="1" outlineLevel="1">
      <c r="A110" s="324"/>
      <c r="B110" s="115">
        <v>15.4</v>
      </c>
      <c r="C110" s="116"/>
      <c r="D110" s="117"/>
      <c r="E110" s="118"/>
      <c r="F110" s="147" t="s">
        <v>707</v>
      </c>
      <c r="G110" s="147"/>
      <c r="H110" s="146"/>
      <c r="I110" s="119"/>
      <c r="J110" s="120" t="s">
        <v>694</v>
      </c>
      <c r="K110" s="121" t="s">
        <v>695</v>
      </c>
      <c r="L110" s="362" t="s">
        <v>568</v>
      </c>
      <c r="M110" s="363" t="s">
        <v>578</v>
      </c>
      <c r="N110" s="123"/>
      <c r="O110" s="122">
        <f t="shared" si="125"/>
        <v>22</v>
      </c>
      <c r="P110" s="327">
        <f>P113-30</f>
        <v>45428</v>
      </c>
      <c r="Q110" s="327">
        <f t="shared" ref="Q110:Q112" si="154">P110+30</f>
        <v>45458</v>
      </c>
      <c r="R110" s="123"/>
      <c r="S110" s="365">
        <f>U110-T110</f>
        <v>30</v>
      </c>
      <c r="T110" s="327">
        <f>$T$113-30</f>
        <v>45428</v>
      </c>
      <c r="U110" s="327">
        <f t="shared" ref="U110:U112" si="155">T110+30</f>
        <v>45458</v>
      </c>
      <c r="V110" s="123"/>
      <c r="W110" s="122">
        <f t="shared" si="101"/>
        <v>24</v>
      </c>
      <c r="X110" s="327">
        <v>45488</v>
      </c>
      <c r="Y110" s="327">
        <v>45519</v>
      </c>
      <c r="Z110" s="125"/>
      <c r="AA110" s="126"/>
      <c r="AB110" s="125"/>
      <c r="AC110" s="127"/>
      <c r="AD110" s="126" t="s">
        <v>696</v>
      </c>
      <c r="AE110" s="126"/>
      <c r="AF110" s="128"/>
      <c r="AG110" s="128"/>
      <c r="AH110" s="129"/>
      <c r="AI110" s="326" t="str">
        <f t="shared" ref="AI110:BQ110" si="156">IFERROR(IF(AND($T110&gt;=(EOMONTH(AI$8,-1)+1),$U110&lt;AJ$8,$I110="M"),"u",""),"")</f>
        <v/>
      </c>
      <c r="AJ110" s="130" t="str">
        <f t="shared" si="156"/>
        <v/>
      </c>
      <c r="AK110" s="130" t="str">
        <f t="shared" si="156"/>
        <v/>
      </c>
      <c r="AL110" s="130" t="str">
        <f t="shared" si="156"/>
        <v/>
      </c>
      <c r="AM110" s="130" t="str">
        <f t="shared" si="156"/>
        <v/>
      </c>
      <c r="AN110" s="130" t="str">
        <f t="shared" si="156"/>
        <v/>
      </c>
      <c r="AO110" s="130" t="str">
        <f t="shared" si="156"/>
        <v/>
      </c>
      <c r="AP110" s="130" t="str">
        <f t="shared" si="156"/>
        <v/>
      </c>
      <c r="AQ110" s="130" t="str">
        <f t="shared" si="156"/>
        <v/>
      </c>
      <c r="AR110" s="130" t="str">
        <f t="shared" si="156"/>
        <v/>
      </c>
      <c r="AS110" s="130" t="str">
        <f t="shared" si="156"/>
        <v/>
      </c>
      <c r="AT110" s="130" t="str">
        <f t="shared" si="156"/>
        <v/>
      </c>
      <c r="AU110" s="130" t="str">
        <f t="shared" si="156"/>
        <v/>
      </c>
      <c r="AV110" s="130" t="str">
        <f t="shared" si="156"/>
        <v/>
      </c>
      <c r="AW110" s="130" t="str">
        <f t="shared" si="156"/>
        <v/>
      </c>
      <c r="AX110" s="130" t="str">
        <f t="shared" si="156"/>
        <v/>
      </c>
      <c r="AY110" s="130" t="str">
        <f t="shared" si="156"/>
        <v/>
      </c>
      <c r="AZ110" s="130" t="str">
        <f t="shared" si="156"/>
        <v/>
      </c>
      <c r="BA110" s="130" t="str">
        <f t="shared" si="156"/>
        <v/>
      </c>
      <c r="BB110" s="130" t="str">
        <f t="shared" si="156"/>
        <v/>
      </c>
      <c r="BC110" s="130" t="str">
        <f t="shared" si="156"/>
        <v/>
      </c>
      <c r="BD110" s="130" t="str">
        <f t="shared" si="156"/>
        <v/>
      </c>
      <c r="BE110" s="130" t="str">
        <f t="shared" si="156"/>
        <v/>
      </c>
      <c r="BF110" s="130" t="str">
        <f t="shared" si="156"/>
        <v/>
      </c>
      <c r="BG110" s="130" t="str">
        <f t="shared" si="156"/>
        <v/>
      </c>
      <c r="BH110" s="130" t="str">
        <f t="shared" si="156"/>
        <v/>
      </c>
      <c r="BI110" s="130" t="str">
        <f t="shared" si="156"/>
        <v/>
      </c>
      <c r="BJ110" s="130" t="str">
        <f t="shared" si="156"/>
        <v/>
      </c>
      <c r="BK110" s="130" t="str">
        <f t="shared" si="156"/>
        <v/>
      </c>
      <c r="BL110" s="130" t="str">
        <f t="shared" si="156"/>
        <v/>
      </c>
      <c r="BM110" s="130" t="str">
        <f t="shared" si="156"/>
        <v/>
      </c>
      <c r="BN110" s="130" t="str">
        <f t="shared" si="156"/>
        <v/>
      </c>
      <c r="BO110" s="130" t="str">
        <f t="shared" si="156"/>
        <v/>
      </c>
      <c r="BP110" s="130" t="str">
        <f t="shared" si="156"/>
        <v/>
      </c>
      <c r="BQ110" s="131" t="str">
        <f t="shared" si="156"/>
        <v/>
      </c>
      <c r="BR110" s="132" t="s">
        <v>0</v>
      </c>
    </row>
    <row r="111" spans="1:70" ht="19.5" hidden="1" customHeight="1" outlineLevel="1">
      <c r="A111" s="324"/>
      <c r="B111" s="115">
        <v>15.5</v>
      </c>
      <c r="C111" s="116"/>
      <c r="D111" s="117"/>
      <c r="E111" s="118"/>
      <c r="F111" s="147" t="s">
        <v>708</v>
      </c>
      <c r="G111" s="147"/>
      <c r="H111" s="146"/>
      <c r="I111" s="119"/>
      <c r="J111" s="120" t="s">
        <v>698</v>
      </c>
      <c r="K111" s="121" t="s">
        <v>699</v>
      </c>
      <c r="L111" s="362" t="s">
        <v>568</v>
      </c>
      <c r="M111" s="363" t="s">
        <v>578</v>
      </c>
      <c r="N111" s="123"/>
      <c r="O111" s="122">
        <f t="shared" si="125"/>
        <v>22</v>
      </c>
      <c r="P111" s="327">
        <f t="shared" ref="P111:P112" si="157">P110</f>
        <v>45428</v>
      </c>
      <c r="Q111" s="327">
        <f t="shared" si="154"/>
        <v>45458</v>
      </c>
      <c r="R111" s="123"/>
      <c r="S111" s="365">
        <f>$S$110</f>
        <v>30</v>
      </c>
      <c r="T111" s="327">
        <f>$T$110</f>
        <v>45428</v>
      </c>
      <c r="U111" s="327">
        <f t="shared" si="155"/>
        <v>45458</v>
      </c>
      <c r="V111" s="123"/>
      <c r="W111" s="122">
        <f t="shared" si="101"/>
        <v>12</v>
      </c>
      <c r="X111" s="327">
        <v>45519</v>
      </c>
      <c r="Y111" s="327">
        <v>45534</v>
      </c>
      <c r="Z111" s="125"/>
      <c r="AA111" s="126"/>
      <c r="AB111" s="125"/>
      <c r="AC111" s="127"/>
      <c r="AD111" s="126" t="s">
        <v>700</v>
      </c>
      <c r="AE111" s="126"/>
      <c r="AF111" s="128"/>
      <c r="AG111" s="128"/>
      <c r="AH111" s="129"/>
      <c r="AI111" s="326" t="str">
        <f t="shared" ref="AI111:BQ111" si="158">IFERROR(IF(AND($T111&gt;=(EOMONTH(AI$8,-1)+1),$U111&lt;AJ$8,$I111="M"),"u",""),"")</f>
        <v/>
      </c>
      <c r="AJ111" s="130" t="str">
        <f t="shared" si="158"/>
        <v/>
      </c>
      <c r="AK111" s="130" t="str">
        <f t="shared" si="158"/>
        <v/>
      </c>
      <c r="AL111" s="130" t="str">
        <f t="shared" si="158"/>
        <v/>
      </c>
      <c r="AM111" s="130" t="str">
        <f t="shared" si="158"/>
        <v/>
      </c>
      <c r="AN111" s="130" t="str">
        <f t="shared" si="158"/>
        <v/>
      </c>
      <c r="AO111" s="130" t="str">
        <f t="shared" si="158"/>
        <v/>
      </c>
      <c r="AP111" s="130" t="str">
        <f t="shared" si="158"/>
        <v/>
      </c>
      <c r="AQ111" s="130" t="str">
        <f t="shared" si="158"/>
        <v/>
      </c>
      <c r="AR111" s="130" t="str">
        <f t="shared" si="158"/>
        <v/>
      </c>
      <c r="AS111" s="130" t="str">
        <f t="shared" si="158"/>
        <v/>
      </c>
      <c r="AT111" s="130" t="str">
        <f t="shared" si="158"/>
        <v/>
      </c>
      <c r="AU111" s="130" t="str">
        <f t="shared" si="158"/>
        <v/>
      </c>
      <c r="AV111" s="130" t="str">
        <f t="shared" si="158"/>
        <v/>
      </c>
      <c r="AW111" s="130" t="str">
        <f t="shared" si="158"/>
        <v/>
      </c>
      <c r="AX111" s="130" t="str">
        <f t="shared" si="158"/>
        <v/>
      </c>
      <c r="AY111" s="130" t="str">
        <f t="shared" si="158"/>
        <v/>
      </c>
      <c r="AZ111" s="130" t="str">
        <f t="shared" si="158"/>
        <v/>
      </c>
      <c r="BA111" s="130" t="str">
        <f t="shared" si="158"/>
        <v/>
      </c>
      <c r="BB111" s="130" t="str">
        <f t="shared" si="158"/>
        <v/>
      </c>
      <c r="BC111" s="130" t="str">
        <f t="shared" si="158"/>
        <v/>
      </c>
      <c r="BD111" s="130" t="str">
        <f t="shared" si="158"/>
        <v/>
      </c>
      <c r="BE111" s="130" t="str">
        <f t="shared" si="158"/>
        <v/>
      </c>
      <c r="BF111" s="130" t="str">
        <f t="shared" si="158"/>
        <v/>
      </c>
      <c r="BG111" s="130" t="str">
        <f t="shared" si="158"/>
        <v/>
      </c>
      <c r="BH111" s="130" t="str">
        <f t="shared" si="158"/>
        <v/>
      </c>
      <c r="BI111" s="130" t="str">
        <f t="shared" si="158"/>
        <v/>
      </c>
      <c r="BJ111" s="130" t="str">
        <f t="shared" si="158"/>
        <v/>
      </c>
      <c r="BK111" s="130" t="str">
        <f t="shared" si="158"/>
        <v/>
      </c>
      <c r="BL111" s="130" t="str">
        <f t="shared" si="158"/>
        <v/>
      </c>
      <c r="BM111" s="130" t="str">
        <f t="shared" si="158"/>
        <v/>
      </c>
      <c r="BN111" s="130" t="str">
        <f t="shared" si="158"/>
        <v/>
      </c>
      <c r="BO111" s="130" t="str">
        <f t="shared" si="158"/>
        <v/>
      </c>
      <c r="BP111" s="130" t="str">
        <f t="shared" si="158"/>
        <v/>
      </c>
      <c r="BQ111" s="131" t="str">
        <f t="shared" si="158"/>
        <v/>
      </c>
      <c r="BR111" s="132" t="s">
        <v>0</v>
      </c>
    </row>
    <row r="112" spans="1:70" ht="19.5" hidden="1" customHeight="1" outlineLevel="1">
      <c r="A112" s="324"/>
      <c r="B112" s="115">
        <v>15.6</v>
      </c>
      <c r="C112" s="116"/>
      <c r="D112" s="117"/>
      <c r="E112" s="118"/>
      <c r="F112" s="147" t="s">
        <v>709</v>
      </c>
      <c r="G112" s="147"/>
      <c r="H112" s="146"/>
      <c r="I112" s="119"/>
      <c r="J112" s="120" t="s">
        <v>710</v>
      </c>
      <c r="K112" s="121" t="s">
        <v>711</v>
      </c>
      <c r="L112" s="362" t="s">
        <v>568</v>
      </c>
      <c r="M112" s="363" t="s">
        <v>578</v>
      </c>
      <c r="N112" s="123"/>
      <c r="O112" s="122">
        <f t="shared" si="125"/>
        <v>22</v>
      </c>
      <c r="P112" s="327">
        <f t="shared" si="157"/>
        <v>45428</v>
      </c>
      <c r="Q112" s="327">
        <f t="shared" si="154"/>
        <v>45458</v>
      </c>
      <c r="R112" s="123"/>
      <c r="S112" s="365">
        <f>$S$111</f>
        <v>30</v>
      </c>
      <c r="T112" s="327">
        <f>$T$111</f>
        <v>45428</v>
      </c>
      <c r="U112" s="327">
        <f t="shared" si="155"/>
        <v>45458</v>
      </c>
      <c r="V112" s="123"/>
      <c r="W112" s="122">
        <f t="shared" si="101"/>
        <v>35</v>
      </c>
      <c r="X112" s="327">
        <v>45488</v>
      </c>
      <c r="Y112" s="327">
        <v>45534</v>
      </c>
      <c r="Z112" s="125"/>
      <c r="AA112" s="126"/>
      <c r="AB112" s="125"/>
      <c r="AC112" s="127"/>
      <c r="AD112" s="126"/>
      <c r="AE112" s="126"/>
      <c r="AF112" s="128"/>
      <c r="AG112" s="128"/>
      <c r="AH112" s="129"/>
      <c r="AI112" s="326" t="str">
        <f t="shared" ref="AI112:BQ112" si="159">IFERROR(IF(AND($T112&gt;=(EOMONTH(AI$8,-1)+1),$U112&lt;AJ$8,$I112="M"),"u",""),"")</f>
        <v/>
      </c>
      <c r="AJ112" s="130" t="str">
        <f t="shared" si="159"/>
        <v/>
      </c>
      <c r="AK112" s="130" t="str">
        <f t="shared" si="159"/>
        <v/>
      </c>
      <c r="AL112" s="130" t="str">
        <f t="shared" si="159"/>
        <v/>
      </c>
      <c r="AM112" s="130" t="str">
        <f t="shared" si="159"/>
        <v/>
      </c>
      <c r="AN112" s="130" t="str">
        <f t="shared" si="159"/>
        <v/>
      </c>
      <c r="AO112" s="130" t="str">
        <f t="shared" si="159"/>
        <v/>
      </c>
      <c r="AP112" s="130" t="str">
        <f t="shared" si="159"/>
        <v/>
      </c>
      <c r="AQ112" s="130" t="str">
        <f t="shared" si="159"/>
        <v/>
      </c>
      <c r="AR112" s="130" t="str">
        <f t="shared" si="159"/>
        <v/>
      </c>
      <c r="AS112" s="130" t="str">
        <f t="shared" si="159"/>
        <v/>
      </c>
      <c r="AT112" s="130" t="str">
        <f t="shared" si="159"/>
        <v/>
      </c>
      <c r="AU112" s="130" t="str">
        <f t="shared" si="159"/>
        <v/>
      </c>
      <c r="AV112" s="130" t="str">
        <f t="shared" si="159"/>
        <v/>
      </c>
      <c r="AW112" s="130" t="str">
        <f t="shared" si="159"/>
        <v/>
      </c>
      <c r="AX112" s="130" t="str">
        <f t="shared" si="159"/>
        <v/>
      </c>
      <c r="AY112" s="130" t="str">
        <f t="shared" si="159"/>
        <v/>
      </c>
      <c r="AZ112" s="130" t="str">
        <f t="shared" si="159"/>
        <v/>
      </c>
      <c r="BA112" s="130" t="str">
        <f t="shared" si="159"/>
        <v/>
      </c>
      <c r="BB112" s="130" t="str">
        <f t="shared" si="159"/>
        <v/>
      </c>
      <c r="BC112" s="130" t="str">
        <f t="shared" si="159"/>
        <v/>
      </c>
      <c r="BD112" s="130" t="str">
        <f t="shared" si="159"/>
        <v/>
      </c>
      <c r="BE112" s="130" t="str">
        <f t="shared" si="159"/>
        <v/>
      </c>
      <c r="BF112" s="130" t="str">
        <f t="shared" si="159"/>
        <v/>
      </c>
      <c r="BG112" s="130" t="str">
        <f t="shared" si="159"/>
        <v/>
      </c>
      <c r="BH112" s="130" t="str">
        <f t="shared" si="159"/>
        <v/>
      </c>
      <c r="BI112" s="130" t="str">
        <f t="shared" si="159"/>
        <v/>
      </c>
      <c r="BJ112" s="130" t="str">
        <f t="shared" si="159"/>
        <v/>
      </c>
      <c r="BK112" s="130" t="str">
        <f t="shared" si="159"/>
        <v/>
      </c>
      <c r="BL112" s="130" t="str">
        <f t="shared" si="159"/>
        <v/>
      </c>
      <c r="BM112" s="130" t="str">
        <f t="shared" si="159"/>
        <v/>
      </c>
      <c r="BN112" s="130" t="str">
        <f t="shared" si="159"/>
        <v/>
      </c>
      <c r="BO112" s="130" t="str">
        <f t="shared" si="159"/>
        <v/>
      </c>
      <c r="BP112" s="130" t="str">
        <f t="shared" si="159"/>
        <v/>
      </c>
      <c r="BQ112" s="131" t="str">
        <f t="shared" si="159"/>
        <v/>
      </c>
      <c r="BR112" s="132" t="s">
        <v>0</v>
      </c>
    </row>
    <row r="113" spans="1:70" ht="19.5" hidden="1" customHeight="1" outlineLevel="1">
      <c r="A113" s="324"/>
      <c r="B113" s="115">
        <v>15.7</v>
      </c>
      <c r="C113" s="116"/>
      <c r="D113" s="117"/>
      <c r="E113" s="118"/>
      <c r="F113" s="149" t="s">
        <v>712</v>
      </c>
      <c r="G113" s="149"/>
      <c r="H113" s="118"/>
      <c r="I113" s="119"/>
      <c r="J113" s="120" t="s">
        <v>713</v>
      </c>
      <c r="K113" s="121" t="s">
        <v>714</v>
      </c>
      <c r="L113" s="325" t="s">
        <v>568</v>
      </c>
      <c r="M113" s="363" t="s">
        <v>578</v>
      </c>
      <c r="N113" s="123"/>
      <c r="O113" s="122" t="e">
        <f t="shared" si="125"/>
        <v>#REF!</v>
      </c>
      <c r="P113" s="327">
        <v>45458</v>
      </c>
      <c r="Q113" s="327" t="e">
        <f>P106</f>
        <v>#REF!</v>
      </c>
      <c r="R113" s="123"/>
      <c r="S113" s="365">
        <v>60</v>
      </c>
      <c r="T113" s="327">
        <v>45458</v>
      </c>
      <c r="U113" s="327">
        <f>T113+S113</f>
        <v>45518</v>
      </c>
      <c r="V113" s="123"/>
      <c r="W113" s="122">
        <f t="shared" si="101"/>
        <v>90</v>
      </c>
      <c r="X113" s="327">
        <v>45483</v>
      </c>
      <c r="Y113" s="327">
        <v>45608</v>
      </c>
      <c r="Z113" s="125"/>
      <c r="AA113" s="126"/>
      <c r="AB113" s="125"/>
      <c r="AC113" s="127"/>
      <c r="AD113" s="126" t="s">
        <v>715</v>
      </c>
      <c r="AE113" s="126"/>
      <c r="AF113" s="128"/>
      <c r="AG113" s="128"/>
      <c r="AH113" s="129"/>
      <c r="AI113" s="326" t="str">
        <f t="shared" ref="AI113:BQ113" si="160">IFERROR(IF(AND($T113&gt;=(EOMONTH(AI$8,-1)+1),$U113&lt;AJ$8,$I113="M"),"u",""),"")</f>
        <v/>
      </c>
      <c r="AJ113" s="130" t="str">
        <f t="shared" si="160"/>
        <v/>
      </c>
      <c r="AK113" s="130" t="str">
        <f t="shared" si="160"/>
        <v/>
      </c>
      <c r="AL113" s="130" t="str">
        <f t="shared" si="160"/>
        <v/>
      </c>
      <c r="AM113" s="130" t="str">
        <f t="shared" si="160"/>
        <v/>
      </c>
      <c r="AN113" s="130" t="str">
        <f t="shared" si="160"/>
        <v/>
      </c>
      <c r="AO113" s="130" t="str">
        <f t="shared" si="160"/>
        <v/>
      </c>
      <c r="AP113" s="130" t="str">
        <f t="shared" si="160"/>
        <v/>
      </c>
      <c r="AQ113" s="130" t="str">
        <f t="shared" si="160"/>
        <v/>
      </c>
      <c r="AR113" s="130" t="str">
        <f t="shared" si="160"/>
        <v/>
      </c>
      <c r="AS113" s="130" t="str">
        <f t="shared" si="160"/>
        <v/>
      </c>
      <c r="AT113" s="130" t="str">
        <f t="shared" si="160"/>
        <v/>
      </c>
      <c r="AU113" s="130" t="str">
        <f t="shared" si="160"/>
        <v/>
      </c>
      <c r="AV113" s="130" t="str">
        <f t="shared" si="160"/>
        <v/>
      </c>
      <c r="AW113" s="130" t="str">
        <f t="shared" si="160"/>
        <v/>
      </c>
      <c r="AX113" s="130" t="str">
        <f t="shared" si="160"/>
        <v/>
      </c>
      <c r="AY113" s="130" t="str">
        <f t="shared" si="160"/>
        <v/>
      </c>
      <c r="AZ113" s="130" t="str">
        <f t="shared" si="160"/>
        <v/>
      </c>
      <c r="BA113" s="130" t="str">
        <f t="shared" si="160"/>
        <v/>
      </c>
      <c r="BB113" s="130" t="str">
        <f t="shared" si="160"/>
        <v/>
      </c>
      <c r="BC113" s="130" t="str">
        <f t="shared" si="160"/>
        <v/>
      </c>
      <c r="BD113" s="130" t="str">
        <f t="shared" si="160"/>
        <v/>
      </c>
      <c r="BE113" s="130" t="str">
        <f t="shared" si="160"/>
        <v/>
      </c>
      <c r="BF113" s="130" t="str">
        <f t="shared" si="160"/>
        <v/>
      </c>
      <c r="BG113" s="130" t="str">
        <f t="shared" si="160"/>
        <v/>
      </c>
      <c r="BH113" s="130" t="str">
        <f t="shared" si="160"/>
        <v/>
      </c>
      <c r="BI113" s="130" t="str">
        <f t="shared" si="160"/>
        <v/>
      </c>
      <c r="BJ113" s="130" t="str">
        <f t="shared" si="160"/>
        <v/>
      </c>
      <c r="BK113" s="130" t="str">
        <f t="shared" si="160"/>
        <v/>
      </c>
      <c r="BL113" s="130" t="str">
        <f t="shared" si="160"/>
        <v/>
      </c>
      <c r="BM113" s="130" t="str">
        <f t="shared" si="160"/>
        <v/>
      </c>
      <c r="BN113" s="130" t="str">
        <f t="shared" si="160"/>
        <v/>
      </c>
      <c r="BO113" s="130" t="str">
        <f t="shared" si="160"/>
        <v/>
      </c>
      <c r="BP113" s="130" t="str">
        <f t="shared" si="160"/>
        <v/>
      </c>
      <c r="BQ113" s="131" t="str">
        <f t="shared" si="160"/>
        <v/>
      </c>
      <c r="BR113" s="132" t="s">
        <v>0</v>
      </c>
    </row>
    <row r="114" spans="1:70" ht="19.5" customHeight="1">
      <c r="A114" s="366">
        <v>3</v>
      </c>
      <c r="B114" s="367"/>
      <c r="C114" s="368"/>
      <c r="D114" s="369"/>
      <c r="E114" s="370" t="s">
        <v>716</v>
      </c>
      <c r="F114" s="371"/>
      <c r="G114" s="371"/>
      <c r="H114" s="371"/>
      <c r="I114" s="38"/>
      <c r="J114" s="372"/>
      <c r="K114" s="373"/>
      <c r="L114" s="374"/>
      <c r="M114" s="375"/>
      <c r="N114" s="22"/>
      <c r="O114" s="32" t="e">
        <f t="shared" si="125"/>
        <v>#REF!</v>
      </c>
      <c r="P114" s="216" t="e">
        <f>MIN(P116:P125)</f>
        <v>#REF!</v>
      </c>
      <c r="Q114" s="376" t="e">
        <f>MAX(Q116:Q125)</f>
        <v>#REF!</v>
      </c>
      <c r="R114" s="22"/>
      <c r="S114" s="216" t="e">
        <f>MIN(S116:S125)</f>
        <v>#REF!</v>
      </c>
      <c r="T114" s="376" t="e">
        <f t="shared" ref="T114:U114" si="161">MAX(T116:T125)</f>
        <v>#REF!</v>
      </c>
      <c r="U114" s="376" t="e">
        <f t="shared" si="161"/>
        <v>#REF!</v>
      </c>
      <c r="V114" s="22"/>
      <c r="W114" s="32" t="e">
        <f t="shared" si="101"/>
        <v>#REF!</v>
      </c>
      <c r="X114" s="216" t="e">
        <f>MIN(X116:X125)</f>
        <v>#REF!</v>
      </c>
      <c r="Y114" s="376" t="e">
        <f>MAX(Y116:Y125)</f>
        <v>#REF!</v>
      </c>
      <c r="Z114" s="24"/>
      <c r="AA114" s="377"/>
      <c r="AB114" s="24"/>
      <c r="AC114" s="378"/>
      <c r="AD114" s="377"/>
      <c r="AE114" s="377"/>
      <c r="AF114" s="379"/>
      <c r="AG114" s="379"/>
      <c r="AH114" s="28"/>
      <c r="AI114" s="319" t="str">
        <f t="shared" ref="AI114:BQ114" si="162">IFERROR(IF(AND($T114&gt;=(EOMONTH(AI$8,-1)+1),$U114&lt;AJ$8,$I114="M"),"u",""),"")</f>
        <v/>
      </c>
      <c r="AJ114" s="92" t="str">
        <f t="shared" si="162"/>
        <v/>
      </c>
      <c r="AK114" s="92" t="str">
        <f t="shared" si="162"/>
        <v/>
      </c>
      <c r="AL114" s="92" t="str">
        <f t="shared" si="162"/>
        <v/>
      </c>
      <c r="AM114" s="92" t="str">
        <f t="shared" si="162"/>
        <v/>
      </c>
      <c r="AN114" s="92" t="str">
        <f t="shared" si="162"/>
        <v/>
      </c>
      <c r="AO114" s="92" t="str">
        <f t="shared" si="162"/>
        <v/>
      </c>
      <c r="AP114" s="92" t="str">
        <f t="shared" si="162"/>
        <v/>
      </c>
      <c r="AQ114" s="92" t="str">
        <f t="shared" si="162"/>
        <v/>
      </c>
      <c r="AR114" s="92" t="str">
        <f t="shared" si="162"/>
        <v/>
      </c>
      <c r="AS114" s="92" t="str">
        <f t="shared" si="162"/>
        <v/>
      </c>
      <c r="AT114" s="92" t="str">
        <f t="shared" si="162"/>
        <v/>
      </c>
      <c r="AU114" s="92" t="str">
        <f t="shared" si="162"/>
        <v/>
      </c>
      <c r="AV114" s="92" t="str">
        <f t="shared" si="162"/>
        <v/>
      </c>
      <c r="AW114" s="92" t="str">
        <f t="shared" si="162"/>
        <v/>
      </c>
      <c r="AX114" s="92" t="str">
        <f t="shared" si="162"/>
        <v/>
      </c>
      <c r="AY114" s="92" t="str">
        <f t="shared" si="162"/>
        <v/>
      </c>
      <c r="AZ114" s="92" t="str">
        <f t="shared" si="162"/>
        <v/>
      </c>
      <c r="BA114" s="92" t="str">
        <f t="shared" si="162"/>
        <v/>
      </c>
      <c r="BB114" s="92" t="str">
        <f t="shared" si="162"/>
        <v/>
      </c>
      <c r="BC114" s="92" t="str">
        <f t="shared" si="162"/>
        <v/>
      </c>
      <c r="BD114" s="92" t="str">
        <f t="shared" si="162"/>
        <v/>
      </c>
      <c r="BE114" s="92" t="str">
        <f t="shared" si="162"/>
        <v/>
      </c>
      <c r="BF114" s="92" t="str">
        <f t="shared" si="162"/>
        <v/>
      </c>
      <c r="BG114" s="92" t="str">
        <f t="shared" si="162"/>
        <v/>
      </c>
      <c r="BH114" s="92" t="str">
        <f t="shared" si="162"/>
        <v/>
      </c>
      <c r="BI114" s="92" t="str">
        <f t="shared" si="162"/>
        <v/>
      </c>
      <c r="BJ114" s="92" t="str">
        <f t="shared" si="162"/>
        <v/>
      </c>
      <c r="BK114" s="92" t="str">
        <f t="shared" si="162"/>
        <v/>
      </c>
      <c r="BL114" s="92" t="str">
        <f t="shared" si="162"/>
        <v/>
      </c>
      <c r="BM114" s="92" t="str">
        <f t="shared" si="162"/>
        <v/>
      </c>
      <c r="BN114" s="92" t="str">
        <f t="shared" si="162"/>
        <v/>
      </c>
      <c r="BO114" s="92" t="str">
        <f t="shared" si="162"/>
        <v/>
      </c>
      <c r="BP114" s="92" t="str">
        <f t="shared" si="162"/>
        <v/>
      </c>
      <c r="BQ114" s="93" t="str">
        <f t="shared" si="162"/>
        <v/>
      </c>
      <c r="BR114" s="11" t="s">
        <v>0</v>
      </c>
    </row>
    <row r="115" spans="1:70" ht="19.5" customHeight="1" outlineLevel="1">
      <c r="A115" s="366"/>
      <c r="B115" s="380">
        <v>3.1</v>
      </c>
      <c r="C115" s="368"/>
      <c r="D115" s="369"/>
      <c r="E115" s="371"/>
      <c r="F115" s="371" t="s">
        <v>717</v>
      </c>
      <c r="G115" s="371"/>
      <c r="H115" s="371"/>
      <c r="I115" s="38"/>
      <c r="J115" s="372"/>
      <c r="K115" s="373"/>
      <c r="L115" s="374"/>
      <c r="M115" s="375"/>
      <c r="N115" s="22"/>
      <c r="O115" s="32"/>
      <c r="P115" s="216"/>
      <c r="Q115" s="376"/>
      <c r="R115" s="22"/>
      <c r="S115" s="216"/>
      <c r="T115" s="376"/>
      <c r="U115" s="376"/>
      <c r="V115" s="22"/>
      <c r="W115" s="32"/>
      <c r="X115" s="216"/>
      <c r="Y115" s="376"/>
      <c r="Z115" s="24"/>
      <c r="AA115" s="377"/>
      <c r="AB115" s="24"/>
      <c r="AC115" s="378"/>
      <c r="AD115" s="377"/>
      <c r="AE115" s="377"/>
      <c r="AF115" s="379"/>
      <c r="AG115" s="379"/>
      <c r="AH115" s="28"/>
      <c r="AI115" s="319" t="str">
        <f t="shared" ref="AI115:BQ115" si="163">IFERROR(IF(AND($T115&gt;=(EOMONTH(AI$8,-1)+1),$U115&lt;AJ$8,$I115="M"),"u",""),"")</f>
        <v/>
      </c>
      <c r="AJ115" s="92" t="str">
        <f t="shared" si="163"/>
        <v/>
      </c>
      <c r="AK115" s="92" t="str">
        <f t="shared" si="163"/>
        <v/>
      </c>
      <c r="AL115" s="92" t="str">
        <f t="shared" si="163"/>
        <v/>
      </c>
      <c r="AM115" s="92" t="str">
        <f t="shared" si="163"/>
        <v/>
      </c>
      <c r="AN115" s="92" t="str">
        <f t="shared" si="163"/>
        <v/>
      </c>
      <c r="AO115" s="92" t="str">
        <f t="shared" si="163"/>
        <v/>
      </c>
      <c r="AP115" s="92" t="str">
        <f t="shared" si="163"/>
        <v/>
      </c>
      <c r="AQ115" s="92" t="str">
        <f t="shared" si="163"/>
        <v/>
      </c>
      <c r="AR115" s="92" t="str">
        <f t="shared" si="163"/>
        <v/>
      </c>
      <c r="AS115" s="92" t="str">
        <f t="shared" si="163"/>
        <v/>
      </c>
      <c r="AT115" s="92" t="str">
        <f t="shared" si="163"/>
        <v/>
      </c>
      <c r="AU115" s="92" t="str">
        <f t="shared" si="163"/>
        <v/>
      </c>
      <c r="AV115" s="92" t="str">
        <f t="shared" si="163"/>
        <v/>
      </c>
      <c r="AW115" s="92" t="str">
        <f t="shared" si="163"/>
        <v/>
      </c>
      <c r="AX115" s="92" t="str">
        <f t="shared" si="163"/>
        <v/>
      </c>
      <c r="AY115" s="92" t="str">
        <f t="shared" si="163"/>
        <v/>
      </c>
      <c r="AZ115" s="92" t="str">
        <f t="shared" si="163"/>
        <v/>
      </c>
      <c r="BA115" s="92" t="str">
        <f t="shared" si="163"/>
        <v/>
      </c>
      <c r="BB115" s="92" t="str">
        <f t="shared" si="163"/>
        <v/>
      </c>
      <c r="BC115" s="92" t="str">
        <f t="shared" si="163"/>
        <v/>
      </c>
      <c r="BD115" s="92" t="str">
        <f t="shared" si="163"/>
        <v/>
      </c>
      <c r="BE115" s="92" t="str">
        <f t="shared" si="163"/>
        <v/>
      </c>
      <c r="BF115" s="92" t="str">
        <f t="shared" si="163"/>
        <v/>
      </c>
      <c r="BG115" s="92" t="str">
        <f t="shared" si="163"/>
        <v/>
      </c>
      <c r="BH115" s="92" t="str">
        <f t="shared" si="163"/>
        <v/>
      </c>
      <c r="BI115" s="92" t="str">
        <f t="shared" si="163"/>
        <v/>
      </c>
      <c r="BJ115" s="92" t="str">
        <f t="shared" si="163"/>
        <v/>
      </c>
      <c r="BK115" s="92" t="str">
        <f t="shared" si="163"/>
        <v/>
      </c>
      <c r="BL115" s="92" t="str">
        <f t="shared" si="163"/>
        <v/>
      </c>
      <c r="BM115" s="92" t="str">
        <f t="shared" si="163"/>
        <v/>
      </c>
      <c r="BN115" s="92" t="str">
        <f t="shared" si="163"/>
        <v/>
      </c>
      <c r="BO115" s="92" t="str">
        <f t="shared" si="163"/>
        <v/>
      </c>
      <c r="BP115" s="92" t="str">
        <f t="shared" si="163"/>
        <v/>
      </c>
      <c r="BQ115" s="93" t="str">
        <f t="shared" si="163"/>
        <v/>
      </c>
      <c r="BR115" s="11"/>
    </row>
    <row r="116" spans="1:70" ht="19.5" customHeight="1" outlineLevel="1">
      <c r="A116" s="324"/>
      <c r="B116" s="150" t="s">
        <v>718</v>
      </c>
      <c r="C116" s="116"/>
      <c r="D116" s="117"/>
      <c r="E116" s="118"/>
      <c r="F116" s="129" t="s">
        <v>719</v>
      </c>
      <c r="G116" s="129"/>
      <c r="H116" s="118"/>
      <c r="I116" s="119"/>
      <c r="J116" s="120" t="s">
        <v>720</v>
      </c>
      <c r="K116" s="121" t="s">
        <v>721</v>
      </c>
      <c r="L116" s="325" t="s">
        <v>547</v>
      </c>
      <c r="M116" s="122"/>
      <c r="N116" s="123"/>
      <c r="O116" s="122">
        <f t="shared" ref="O116:O125" si="164">NETWORKDAYS(P116,Q116)</f>
        <v>0</v>
      </c>
      <c r="P116" s="327"/>
      <c r="Q116" s="327"/>
      <c r="R116" s="123"/>
      <c r="S116" s="327"/>
      <c r="T116" s="327"/>
      <c r="U116" s="133">
        <f t="shared" ref="U116:U118" si="165">T116+S116</f>
        <v>0</v>
      </c>
      <c r="V116" s="123"/>
      <c r="W116" s="122">
        <f t="shared" ref="W116:W125" si="166">NETWORKDAYS(X116,Y116)</f>
        <v>1</v>
      </c>
      <c r="X116" s="327">
        <v>45566</v>
      </c>
      <c r="Y116" s="327">
        <v>45566</v>
      </c>
      <c r="Z116" s="125"/>
      <c r="AA116" s="126"/>
      <c r="AB116" s="125"/>
      <c r="AC116" s="127"/>
      <c r="AD116" s="126"/>
      <c r="AE116" s="126"/>
      <c r="AF116" s="128"/>
      <c r="AG116" s="128"/>
      <c r="AH116" s="129"/>
      <c r="AI116" s="326" t="str">
        <f t="shared" ref="AI116:BQ116" si="167">IFERROR(IF(AND($T116&gt;=(EOMONTH(AI$8,-1)+1),$U116&lt;AJ$8,$I116="M"),"u",""),"")</f>
        <v/>
      </c>
      <c r="AJ116" s="130" t="str">
        <f t="shared" si="167"/>
        <v/>
      </c>
      <c r="AK116" s="130" t="str">
        <f t="shared" si="167"/>
        <v/>
      </c>
      <c r="AL116" s="130" t="str">
        <f t="shared" si="167"/>
        <v/>
      </c>
      <c r="AM116" s="130" t="str">
        <f t="shared" si="167"/>
        <v/>
      </c>
      <c r="AN116" s="130" t="str">
        <f t="shared" si="167"/>
        <v/>
      </c>
      <c r="AO116" s="130" t="str">
        <f t="shared" si="167"/>
        <v/>
      </c>
      <c r="AP116" s="130" t="str">
        <f t="shared" si="167"/>
        <v/>
      </c>
      <c r="AQ116" s="130" t="str">
        <f t="shared" si="167"/>
        <v/>
      </c>
      <c r="AR116" s="130" t="str">
        <f t="shared" si="167"/>
        <v/>
      </c>
      <c r="AS116" s="130" t="str">
        <f t="shared" si="167"/>
        <v/>
      </c>
      <c r="AT116" s="130" t="str">
        <f t="shared" si="167"/>
        <v/>
      </c>
      <c r="AU116" s="130" t="str">
        <f t="shared" si="167"/>
        <v/>
      </c>
      <c r="AV116" s="130" t="str">
        <f t="shared" si="167"/>
        <v/>
      </c>
      <c r="AW116" s="130" t="str">
        <f t="shared" si="167"/>
        <v/>
      </c>
      <c r="AX116" s="130" t="str">
        <f t="shared" si="167"/>
        <v/>
      </c>
      <c r="AY116" s="130" t="str">
        <f t="shared" si="167"/>
        <v/>
      </c>
      <c r="AZ116" s="130" t="str">
        <f t="shared" si="167"/>
        <v/>
      </c>
      <c r="BA116" s="130" t="str">
        <f t="shared" si="167"/>
        <v/>
      </c>
      <c r="BB116" s="130" t="str">
        <f t="shared" si="167"/>
        <v/>
      </c>
      <c r="BC116" s="130" t="str">
        <f t="shared" si="167"/>
        <v/>
      </c>
      <c r="BD116" s="130" t="str">
        <f t="shared" si="167"/>
        <v/>
      </c>
      <c r="BE116" s="130" t="str">
        <f t="shared" si="167"/>
        <v/>
      </c>
      <c r="BF116" s="130" t="str">
        <f t="shared" si="167"/>
        <v/>
      </c>
      <c r="BG116" s="130" t="str">
        <f t="shared" si="167"/>
        <v/>
      </c>
      <c r="BH116" s="130" t="str">
        <f t="shared" si="167"/>
        <v/>
      </c>
      <c r="BI116" s="130" t="str">
        <f t="shared" si="167"/>
        <v/>
      </c>
      <c r="BJ116" s="130" t="str">
        <f t="shared" si="167"/>
        <v/>
      </c>
      <c r="BK116" s="130" t="str">
        <f t="shared" si="167"/>
        <v/>
      </c>
      <c r="BL116" s="130" t="str">
        <f t="shared" si="167"/>
        <v/>
      </c>
      <c r="BM116" s="130" t="str">
        <f t="shared" si="167"/>
        <v/>
      </c>
      <c r="BN116" s="130" t="str">
        <f t="shared" si="167"/>
        <v/>
      </c>
      <c r="BO116" s="130" t="str">
        <f t="shared" si="167"/>
        <v/>
      </c>
      <c r="BP116" s="130" t="str">
        <f t="shared" si="167"/>
        <v/>
      </c>
      <c r="BQ116" s="131" t="str">
        <f t="shared" si="167"/>
        <v/>
      </c>
      <c r="BR116" s="132" t="s">
        <v>0</v>
      </c>
    </row>
    <row r="117" spans="1:70" ht="19.5" customHeight="1" outlineLevel="1">
      <c r="A117" s="324"/>
      <c r="B117" s="150" t="s">
        <v>722</v>
      </c>
      <c r="C117" s="116"/>
      <c r="D117" s="117"/>
      <c r="E117" s="118"/>
      <c r="F117" s="146" t="s">
        <v>723</v>
      </c>
      <c r="G117" s="146"/>
      <c r="H117" s="118"/>
      <c r="I117" s="119" t="s">
        <v>457</v>
      </c>
      <c r="J117" s="120" t="s">
        <v>674</v>
      </c>
      <c r="K117" s="121" t="s">
        <v>724</v>
      </c>
      <c r="L117" s="325" t="s">
        <v>547</v>
      </c>
      <c r="M117" s="122"/>
      <c r="N117" s="123"/>
      <c r="O117" s="122">
        <f t="shared" si="164"/>
        <v>0</v>
      </c>
      <c r="P117" s="327"/>
      <c r="Q117" s="327"/>
      <c r="R117" s="123"/>
      <c r="S117" s="327"/>
      <c r="T117" s="327"/>
      <c r="U117" s="133">
        <f t="shared" si="165"/>
        <v>0</v>
      </c>
      <c r="V117" s="123"/>
      <c r="W117" s="122">
        <f t="shared" si="166"/>
        <v>0</v>
      </c>
      <c r="X117" s="327"/>
      <c r="Y117" s="327"/>
      <c r="Z117" s="125"/>
      <c r="AA117" s="126"/>
      <c r="AB117" s="125"/>
      <c r="AC117" s="127"/>
      <c r="AD117" s="126"/>
      <c r="AE117" s="126"/>
      <c r="AF117" s="128"/>
      <c r="AG117" s="128"/>
      <c r="AH117" s="129"/>
      <c r="AI117" s="326" t="str">
        <f t="shared" ref="AI117:BQ117" si="168">IFERROR(IF(AND($T117&gt;=(EOMONTH(AI$8,-1)+1),$U117&lt;AJ$8,$I117="M"),"u",""),"")</f>
        <v/>
      </c>
      <c r="AJ117" s="130" t="str">
        <f t="shared" si="168"/>
        <v/>
      </c>
      <c r="AK117" s="130" t="str">
        <f t="shared" si="168"/>
        <v/>
      </c>
      <c r="AL117" s="130" t="str">
        <f t="shared" si="168"/>
        <v/>
      </c>
      <c r="AM117" s="130" t="str">
        <f t="shared" si="168"/>
        <v/>
      </c>
      <c r="AN117" s="130" t="str">
        <f t="shared" si="168"/>
        <v/>
      </c>
      <c r="AO117" s="130" t="str">
        <f t="shared" si="168"/>
        <v/>
      </c>
      <c r="AP117" s="130" t="str">
        <f t="shared" si="168"/>
        <v/>
      </c>
      <c r="AQ117" s="130" t="str">
        <f t="shared" si="168"/>
        <v/>
      </c>
      <c r="AR117" s="130" t="str">
        <f t="shared" si="168"/>
        <v/>
      </c>
      <c r="AS117" s="130" t="str">
        <f t="shared" si="168"/>
        <v/>
      </c>
      <c r="AT117" s="130" t="str">
        <f t="shared" si="168"/>
        <v/>
      </c>
      <c r="AU117" s="130" t="str">
        <f t="shared" si="168"/>
        <v/>
      </c>
      <c r="AV117" s="130" t="str">
        <f t="shared" si="168"/>
        <v/>
      </c>
      <c r="AW117" s="130" t="str">
        <f t="shared" si="168"/>
        <v/>
      </c>
      <c r="AX117" s="130" t="str">
        <f t="shared" si="168"/>
        <v/>
      </c>
      <c r="AY117" s="130" t="str">
        <f t="shared" si="168"/>
        <v/>
      </c>
      <c r="AZ117" s="130" t="str">
        <f t="shared" si="168"/>
        <v/>
      </c>
      <c r="BA117" s="130" t="str">
        <f t="shared" si="168"/>
        <v/>
      </c>
      <c r="BB117" s="130" t="str">
        <f t="shared" si="168"/>
        <v/>
      </c>
      <c r="BC117" s="130" t="str">
        <f t="shared" si="168"/>
        <v/>
      </c>
      <c r="BD117" s="130" t="str">
        <f t="shared" si="168"/>
        <v/>
      </c>
      <c r="BE117" s="130" t="str">
        <f t="shared" si="168"/>
        <v/>
      </c>
      <c r="BF117" s="130" t="str">
        <f t="shared" si="168"/>
        <v/>
      </c>
      <c r="BG117" s="130" t="str">
        <f t="shared" si="168"/>
        <v/>
      </c>
      <c r="BH117" s="130" t="str">
        <f t="shared" si="168"/>
        <v/>
      </c>
      <c r="BI117" s="130" t="str">
        <f t="shared" si="168"/>
        <v/>
      </c>
      <c r="BJ117" s="130" t="str">
        <f t="shared" si="168"/>
        <v/>
      </c>
      <c r="BK117" s="130" t="str">
        <f t="shared" si="168"/>
        <v/>
      </c>
      <c r="BL117" s="130" t="str">
        <f t="shared" si="168"/>
        <v/>
      </c>
      <c r="BM117" s="130" t="str">
        <f t="shared" si="168"/>
        <v/>
      </c>
      <c r="BN117" s="130" t="str">
        <f t="shared" si="168"/>
        <v/>
      </c>
      <c r="BO117" s="130" t="str">
        <f t="shared" si="168"/>
        <v/>
      </c>
      <c r="BP117" s="130" t="str">
        <f t="shared" si="168"/>
        <v/>
      </c>
      <c r="BQ117" s="131" t="str">
        <f t="shared" si="168"/>
        <v/>
      </c>
      <c r="BR117" s="132" t="s">
        <v>0</v>
      </c>
    </row>
    <row r="118" spans="1:70" ht="19.5" customHeight="1" outlineLevel="1">
      <c r="A118" s="324"/>
      <c r="B118" s="150" t="s">
        <v>725</v>
      </c>
      <c r="C118" s="116"/>
      <c r="D118" s="117"/>
      <c r="E118" s="118"/>
      <c r="F118" s="118" t="s">
        <v>726</v>
      </c>
      <c r="G118" s="118"/>
      <c r="H118" s="118"/>
      <c r="I118" s="119"/>
      <c r="J118" s="120" t="s">
        <v>727</v>
      </c>
      <c r="K118" s="121" t="s">
        <v>728</v>
      </c>
      <c r="L118" s="325" t="s">
        <v>547</v>
      </c>
      <c r="M118" s="122"/>
      <c r="N118" s="123"/>
      <c r="O118" s="122">
        <f t="shared" si="164"/>
        <v>0</v>
      </c>
      <c r="P118" s="327"/>
      <c r="Q118" s="327"/>
      <c r="R118" s="123"/>
      <c r="S118" s="327"/>
      <c r="T118" s="327"/>
      <c r="U118" s="133">
        <f t="shared" si="165"/>
        <v>0</v>
      </c>
      <c r="V118" s="123"/>
      <c r="W118" s="122">
        <f t="shared" si="166"/>
        <v>5</v>
      </c>
      <c r="X118" s="327">
        <v>45566</v>
      </c>
      <c r="Y118" s="327">
        <v>45572</v>
      </c>
      <c r="Z118" s="125"/>
      <c r="AA118" s="126"/>
      <c r="AB118" s="125"/>
      <c r="AC118" s="127"/>
      <c r="AD118" s="126"/>
      <c r="AE118" s="126"/>
      <c r="AF118" s="128"/>
      <c r="AG118" s="128"/>
      <c r="AH118" s="129"/>
      <c r="AI118" s="326" t="str">
        <f t="shared" ref="AI118:BQ118" si="169">IFERROR(IF(AND($T118&gt;=(EOMONTH(AI$8,-1)+1),$U118&lt;AJ$8,$I118="M"),"u",""),"")</f>
        <v/>
      </c>
      <c r="AJ118" s="130" t="str">
        <f t="shared" si="169"/>
        <v/>
      </c>
      <c r="AK118" s="130" t="str">
        <f t="shared" si="169"/>
        <v/>
      </c>
      <c r="AL118" s="130" t="str">
        <f t="shared" si="169"/>
        <v/>
      </c>
      <c r="AM118" s="130" t="str">
        <f t="shared" si="169"/>
        <v/>
      </c>
      <c r="AN118" s="130" t="str">
        <f t="shared" si="169"/>
        <v/>
      </c>
      <c r="AO118" s="130" t="str">
        <f t="shared" si="169"/>
        <v/>
      </c>
      <c r="AP118" s="130" t="str">
        <f t="shared" si="169"/>
        <v/>
      </c>
      <c r="AQ118" s="130" t="str">
        <f t="shared" si="169"/>
        <v/>
      </c>
      <c r="AR118" s="130" t="str">
        <f t="shared" si="169"/>
        <v/>
      </c>
      <c r="AS118" s="130" t="str">
        <f t="shared" si="169"/>
        <v/>
      </c>
      <c r="AT118" s="130" t="str">
        <f t="shared" si="169"/>
        <v/>
      </c>
      <c r="AU118" s="130" t="str">
        <f t="shared" si="169"/>
        <v/>
      </c>
      <c r="AV118" s="130" t="str">
        <f t="shared" si="169"/>
        <v/>
      </c>
      <c r="AW118" s="130" t="str">
        <f t="shared" si="169"/>
        <v/>
      </c>
      <c r="AX118" s="130" t="str">
        <f t="shared" si="169"/>
        <v/>
      </c>
      <c r="AY118" s="130" t="str">
        <f t="shared" si="169"/>
        <v/>
      </c>
      <c r="AZ118" s="130" t="str">
        <f t="shared" si="169"/>
        <v/>
      </c>
      <c r="BA118" s="130" t="str">
        <f t="shared" si="169"/>
        <v/>
      </c>
      <c r="BB118" s="130" t="str">
        <f t="shared" si="169"/>
        <v/>
      </c>
      <c r="BC118" s="130" t="str">
        <f t="shared" si="169"/>
        <v/>
      </c>
      <c r="BD118" s="130" t="str">
        <f t="shared" si="169"/>
        <v/>
      </c>
      <c r="BE118" s="130" t="str">
        <f t="shared" si="169"/>
        <v/>
      </c>
      <c r="BF118" s="130" t="str">
        <f t="shared" si="169"/>
        <v/>
      </c>
      <c r="BG118" s="130" t="str">
        <f t="shared" si="169"/>
        <v/>
      </c>
      <c r="BH118" s="130" t="str">
        <f t="shared" si="169"/>
        <v/>
      </c>
      <c r="BI118" s="130" t="str">
        <f t="shared" si="169"/>
        <v/>
      </c>
      <c r="BJ118" s="130" t="str">
        <f t="shared" si="169"/>
        <v/>
      </c>
      <c r="BK118" s="130" t="str">
        <f t="shared" si="169"/>
        <v/>
      </c>
      <c r="BL118" s="130" t="str">
        <f t="shared" si="169"/>
        <v/>
      </c>
      <c r="BM118" s="130" t="str">
        <f t="shared" si="169"/>
        <v/>
      </c>
      <c r="BN118" s="130" t="str">
        <f t="shared" si="169"/>
        <v/>
      </c>
      <c r="BO118" s="130" t="str">
        <f t="shared" si="169"/>
        <v/>
      </c>
      <c r="BP118" s="130" t="str">
        <f t="shared" si="169"/>
        <v/>
      </c>
      <c r="BQ118" s="131" t="str">
        <f t="shared" si="169"/>
        <v/>
      </c>
      <c r="BR118" s="132" t="s">
        <v>0</v>
      </c>
    </row>
    <row r="119" spans="1:70" ht="19.5" customHeight="1" outlineLevel="1">
      <c r="A119" s="324"/>
      <c r="B119" s="150" t="s">
        <v>729</v>
      </c>
      <c r="C119" s="116"/>
      <c r="D119" s="117"/>
      <c r="E119" s="118"/>
      <c r="F119" s="118" t="s">
        <v>730</v>
      </c>
      <c r="G119" s="118"/>
      <c r="H119" s="118"/>
      <c r="I119" s="119" t="s">
        <v>457</v>
      </c>
      <c r="J119" s="120" t="s">
        <v>731</v>
      </c>
      <c r="K119" s="121" t="s">
        <v>732</v>
      </c>
      <c r="L119" s="325" t="s">
        <v>547</v>
      </c>
      <c r="M119" s="122" t="s">
        <v>568</v>
      </c>
      <c r="N119" s="123"/>
      <c r="O119" s="122" t="e">
        <f t="shared" si="164"/>
        <v>#REF!</v>
      </c>
      <c r="P119" s="327" t="e">
        <f>#REF!+7</f>
        <v>#REF!</v>
      </c>
      <c r="Q119" s="327" t="e">
        <f t="shared" ref="Q119:Q120" si="170">P119</f>
        <v>#REF!</v>
      </c>
      <c r="R119" s="123"/>
      <c r="S119" s="122">
        <f t="shared" ref="S119:S121" si="171">NETWORKDAYS(T119,U119)</f>
        <v>0</v>
      </c>
      <c r="T119" s="327">
        <v>45550</v>
      </c>
      <c r="U119" s="327">
        <v>45550</v>
      </c>
      <c r="V119" s="123"/>
      <c r="W119" s="122">
        <f t="shared" si="166"/>
        <v>1</v>
      </c>
      <c r="X119" s="327">
        <v>45580</v>
      </c>
      <c r="Y119" s="327">
        <v>45580</v>
      </c>
      <c r="Z119" s="125"/>
      <c r="AA119" s="126"/>
      <c r="AB119" s="125"/>
      <c r="AC119" s="127"/>
      <c r="AD119" s="126" t="s">
        <v>590</v>
      </c>
      <c r="AE119" s="126"/>
      <c r="AF119" s="128"/>
      <c r="AG119" s="128" t="s">
        <v>733</v>
      </c>
      <c r="AH119" s="129"/>
      <c r="AI119" s="326" t="str">
        <f t="shared" ref="AI119:BQ119" si="172">IFERROR(IF(AND($T119&gt;=(EOMONTH(AI$8,-1)+1),$U119&lt;AJ$8,$I119="M"),"u",""),"")</f>
        <v/>
      </c>
      <c r="AJ119" s="130" t="str">
        <f t="shared" si="172"/>
        <v/>
      </c>
      <c r="AK119" s="130" t="str">
        <f t="shared" si="172"/>
        <v/>
      </c>
      <c r="AL119" s="130" t="str">
        <f t="shared" si="172"/>
        <v/>
      </c>
      <c r="AM119" s="130" t="str">
        <f t="shared" si="172"/>
        <v/>
      </c>
      <c r="AN119" s="130" t="str">
        <f t="shared" si="172"/>
        <v/>
      </c>
      <c r="AO119" s="130" t="str">
        <f t="shared" si="172"/>
        <v/>
      </c>
      <c r="AP119" s="130" t="str">
        <f t="shared" si="172"/>
        <v/>
      </c>
      <c r="AQ119" s="130" t="str">
        <f t="shared" si="172"/>
        <v/>
      </c>
      <c r="AR119" s="130" t="str">
        <f t="shared" si="172"/>
        <v/>
      </c>
      <c r="AS119" s="130" t="str">
        <f t="shared" si="172"/>
        <v/>
      </c>
      <c r="AT119" s="130" t="str">
        <f t="shared" si="172"/>
        <v/>
      </c>
      <c r="AU119" s="130" t="str">
        <f t="shared" si="172"/>
        <v/>
      </c>
      <c r="AV119" s="130" t="str">
        <f t="shared" si="172"/>
        <v/>
      </c>
      <c r="AW119" s="130" t="str">
        <f t="shared" si="172"/>
        <v/>
      </c>
      <c r="AX119" s="130" t="str">
        <f t="shared" si="172"/>
        <v/>
      </c>
      <c r="AY119" s="130" t="str">
        <f t="shared" si="172"/>
        <v/>
      </c>
      <c r="AZ119" s="130" t="str">
        <f t="shared" si="172"/>
        <v>u</v>
      </c>
      <c r="BA119" s="130" t="str">
        <f t="shared" si="172"/>
        <v>u</v>
      </c>
      <c r="BB119" s="130" t="str">
        <f t="shared" si="172"/>
        <v/>
      </c>
      <c r="BC119" s="130" t="str">
        <f t="shared" si="172"/>
        <v/>
      </c>
      <c r="BD119" s="130" t="str">
        <f t="shared" si="172"/>
        <v/>
      </c>
      <c r="BE119" s="130" t="str">
        <f t="shared" si="172"/>
        <v/>
      </c>
      <c r="BF119" s="130" t="str">
        <f t="shared" si="172"/>
        <v/>
      </c>
      <c r="BG119" s="130" t="str">
        <f t="shared" si="172"/>
        <v/>
      </c>
      <c r="BH119" s="130" t="str">
        <f t="shared" si="172"/>
        <v/>
      </c>
      <c r="BI119" s="130" t="str">
        <f t="shared" si="172"/>
        <v/>
      </c>
      <c r="BJ119" s="130" t="str">
        <f t="shared" si="172"/>
        <v/>
      </c>
      <c r="BK119" s="130" t="str">
        <f t="shared" si="172"/>
        <v/>
      </c>
      <c r="BL119" s="130" t="str">
        <f t="shared" si="172"/>
        <v/>
      </c>
      <c r="BM119" s="130" t="str">
        <f t="shared" si="172"/>
        <v/>
      </c>
      <c r="BN119" s="130" t="str">
        <f t="shared" si="172"/>
        <v/>
      </c>
      <c r="BO119" s="130" t="str">
        <f t="shared" si="172"/>
        <v/>
      </c>
      <c r="BP119" s="130" t="str">
        <f t="shared" si="172"/>
        <v/>
      </c>
      <c r="BQ119" s="131" t="str">
        <f t="shared" si="172"/>
        <v/>
      </c>
      <c r="BR119" s="132" t="s">
        <v>0</v>
      </c>
    </row>
    <row r="120" spans="1:70" ht="19.5" customHeight="1" outlineLevel="1">
      <c r="A120" s="324"/>
      <c r="B120" s="150" t="s">
        <v>734</v>
      </c>
      <c r="C120" s="116"/>
      <c r="D120" s="117"/>
      <c r="E120" s="118"/>
      <c r="F120" s="118" t="s">
        <v>735</v>
      </c>
      <c r="G120" s="118"/>
      <c r="H120" s="118"/>
      <c r="I120" s="119" t="s">
        <v>457</v>
      </c>
      <c r="J120" s="120" t="s">
        <v>731</v>
      </c>
      <c r="K120" s="121" t="s">
        <v>736</v>
      </c>
      <c r="L120" s="325" t="s">
        <v>568</v>
      </c>
      <c r="M120" s="122" t="s">
        <v>547</v>
      </c>
      <c r="N120" s="123"/>
      <c r="O120" s="122" t="e">
        <f t="shared" si="164"/>
        <v>#REF!</v>
      </c>
      <c r="P120" s="327" t="e">
        <f>EOMONTH(P119,1)</f>
        <v>#REF!</v>
      </c>
      <c r="Q120" s="327" t="e">
        <f t="shared" si="170"/>
        <v>#REF!</v>
      </c>
      <c r="R120" s="123"/>
      <c r="S120" s="122">
        <f t="shared" si="171"/>
        <v>0</v>
      </c>
      <c r="T120" s="327">
        <v>45542</v>
      </c>
      <c r="U120" s="327">
        <f>T120</f>
        <v>45542</v>
      </c>
      <c r="V120" s="123"/>
      <c r="W120" s="122">
        <f t="shared" si="166"/>
        <v>0</v>
      </c>
      <c r="X120" s="327">
        <v>45633</v>
      </c>
      <c r="Y120" s="327">
        <v>45633</v>
      </c>
      <c r="Z120" s="125"/>
      <c r="AA120" s="126"/>
      <c r="AB120" s="125"/>
      <c r="AC120" s="127"/>
      <c r="AD120" s="126"/>
      <c r="AE120" s="126"/>
      <c r="AF120" s="128"/>
      <c r="AG120" s="128" t="s">
        <v>737</v>
      </c>
      <c r="AH120" s="129"/>
      <c r="AI120" s="326" t="str">
        <f t="shared" ref="AI120:BQ120" si="173">IFERROR(IF(AND($T120&gt;=(EOMONTH(AI$8,-1)+1),$U120&lt;AJ$8,$I120="M"),"u",""),"")</f>
        <v/>
      </c>
      <c r="AJ120" s="130" t="str">
        <f t="shared" si="173"/>
        <v/>
      </c>
      <c r="AK120" s="130" t="str">
        <f t="shared" si="173"/>
        <v/>
      </c>
      <c r="AL120" s="130" t="str">
        <f t="shared" si="173"/>
        <v/>
      </c>
      <c r="AM120" s="130" t="str">
        <f t="shared" si="173"/>
        <v/>
      </c>
      <c r="AN120" s="130" t="str">
        <f t="shared" si="173"/>
        <v/>
      </c>
      <c r="AO120" s="130" t="str">
        <f t="shared" si="173"/>
        <v/>
      </c>
      <c r="AP120" s="130" t="str">
        <f t="shared" si="173"/>
        <v/>
      </c>
      <c r="AQ120" s="130" t="str">
        <f t="shared" si="173"/>
        <v/>
      </c>
      <c r="AR120" s="130" t="str">
        <f t="shared" si="173"/>
        <v/>
      </c>
      <c r="AS120" s="130" t="str">
        <f t="shared" si="173"/>
        <v/>
      </c>
      <c r="AT120" s="130" t="str">
        <f t="shared" si="173"/>
        <v/>
      </c>
      <c r="AU120" s="130" t="str">
        <f t="shared" si="173"/>
        <v/>
      </c>
      <c r="AV120" s="130" t="str">
        <f t="shared" si="173"/>
        <v/>
      </c>
      <c r="AW120" s="130" t="str">
        <f t="shared" si="173"/>
        <v/>
      </c>
      <c r="AX120" s="130" t="str">
        <f t="shared" si="173"/>
        <v/>
      </c>
      <c r="AY120" s="130" t="str">
        <f t="shared" si="173"/>
        <v/>
      </c>
      <c r="AZ120" s="130" t="str">
        <f t="shared" si="173"/>
        <v>u</v>
      </c>
      <c r="BA120" s="130" t="str">
        <f t="shared" si="173"/>
        <v>u</v>
      </c>
      <c r="BB120" s="130" t="str">
        <f t="shared" si="173"/>
        <v/>
      </c>
      <c r="BC120" s="130" t="str">
        <f t="shared" si="173"/>
        <v/>
      </c>
      <c r="BD120" s="130" t="str">
        <f t="shared" si="173"/>
        <v/>
      </c>
      <c r="BE120" s="130" t="str">
        <f t="shared" si="173"/>
        <v/>
      </c>
      <c r="BF120" s="130" t="str">
        <f t="shared" si="173"/>
        <v/>
      </c>
      <c r="BG120" s="130" t="str">
        <f t="shared" si="173"/>
        <v/>
      </c>
      <c r="BH120" s="130" t="str">
        <f t="shared" si="173"/>
        <v/>
      </c>
      <c r="BI120" s="130" t="str">
        <f t="shared" si="173"/>
        <v/>
      </c>
      <c r="BJ120" s="130" t="str">
        <f t="shared" si="173"/>
        <v/>
      </c>
      <c r="BK120" s="130" t="str">
        <f t="shared" si="173"/>
        <v/>
      </c>
      <c r="BL120" s="130" t="str">
        <f t="shared" si="173"/>
        <v/>
      </c>
      <c r="BM120" s="130" t="str">
        <f t="shared" si="173"/>
        <v/>
      </c>
      <c r="BN120" s="130" t="str">
        <f t="shared" si="173"/>
        <v/>
      </c>
      <c r="BO120" s="130" t="str">
        <f t="shared" si="173"/>
        <v/>
      </c>
      <c r="BP120" s="130" t="str">
        <f t="shared" si="173"/>
        <v/>
      </c>
      <c r="BQ120" s="131" t="str">
        <f t="shared" si="173"/>
        <v/>
      </c>
      <c r="BR120" s="132" t="s">
        <v>0</v>
      </c>
    </row>
    <row r="121" spans="1:70" ht="19.5" customHeight="1" outlineLevel="1">
      <c r="A121" s="324"/>
      <c r="B121" s="150" t="s">
        <v>738</v>
      </c>
      <c r="C121" s="116"/>
      <c r="D121" s="117"/>
      <c r="E121" s="118"/>
      <c r="F121" s="118" t="s">
        <v>739</v>
      </c>
      <c r="G121" s="118"/>
      <c r="H121" s="118"/>
      <c r="I121" s="119"/>
      <c r="J121" s="120" t="s">
        <v>740</v>
      </c>
      <c r="K121" s="121" t="s">
        <v>741</v>
      </c>
      <c r="L121" s="325" t="s">
        <v>568</v>
      </c>
      <c r="M121" s="122"/>
      <c r="N121" s="123"/>
      <c r="O121" s="122" t="e">
        <f t="shared" si="164"/>
        <v>#REF!</v>
      </c>
      <c r="P121" s="327" t="e">
        <f>Q113</f>
        <v>#REF!</v>
      </c>
      <c r="Q121" s="327" t="e">
        <f>EOMONTH(P121,1)</f>
        <v>#REF!</v>
      </c>
      <c r="R121" s="123"/>
      <c r="S121" s="122" t="e">
        <f t="shared" si="171"/>
        <v>#REF!</v>
      </c>
      <c r="T121" s="327" t="e">
        <f>#REF!</f>
        <v>#REF!</v>
      </c>
      <c r="U121" s="327" t="e">
        <f>T121+7</f>
        <v>#REF!</v>
      </c>
      <c r="V121" s="123"/>
      <c r="W121" s="122" t="e">
        <f t="shared" si="166"/>
        <v>#REF!</v>
      </c>
      <c r="X121" s="327" t="e">
        <f>#REF!</f>
        <v>#REF!</v>
      </c>
      <c r="Y121" s="327" t="e">
        <f>X121+7</f>
        <v>#REF!</v>
      </c>
      <c r="Z121" s="125"/>
      <c r="AA121" s="126"/>
      <c r="AB121" s="125"/>
      <c r="AC121" s="127"/>
      <c r="AD121" s="126"/>
      <c r="AE121" s="126"/>
      <c r="AF121" s="128"/>
      <c r="AG121" s="128"/>
      <c r="AH121" s="129"/>
      <c r="AI121" s="326" t="str">
        <f t="shared" ref="AI121:BQ121" si="174">IFERROR(IF(AND($T121&gt;=(EOMONTH(AI$8,-1)+1),$U121&lt;AJ$8,$I121="M"),"u",""),"")</f>
        <v/>
      </c>
      <c r="AJ121" s="130" t="str">
        <f t="shared" si="174"/>
        <v/>
      </c>
      <c r="AK121" s="130" t="str">
        <f t="shared" si="174"/>
        <v/>
      </c>
      <c r="AL121" s="130" t="str">
        <f t="shared" si="174"/>
        <v/>
      </c>
      <c r="AM121" s="130" t="str">
        <f t="shared" si="174"/>
        <v/>
      </c>
      <c r="AN121" s="130" t="str">
        <f t="shared" si="174"/>
        <v/>
      </c>
      <c r="AO121" s="130" t="str">
        <f t="shared" si="174"/>
        <v/>
      </c>
      <c r="AP121" s="130" t="str">
        <f t="shared" si="174"/>
        <v/>
      </c>
      <c r="AQ121" s="130" t="str">
        <f t="shared" si="174"/>
        <v/>
      </c>
      <c r="AR121" s="130" t="str">
        <f t="shared" si="174"/>
        <v/>
      </c>
      <c r="AS121" s="130" t="str">
        <f t="shared" si="174"/>
        <v/>
      </c>
      <c r="AT121" s="130" t="str">
        <f t="shared" si="174"/>
        <v/>
      </c>
      <c r="AU121" s="130" t="str">
        <f t="shared" si="174"/>
        <v/>
      </c>
      <c r="AV121" s="130" t="str">
        <f t="shared" si="174"/>
        <v/>
      </c>
      <c r="AW121" s="130" t="str">
        <f t="shared" si="174"/>
        <v/>
      </c>
      <c r="AX121" s="130" t="str">
        <f t="shared" si="174"/>
        <v/>
      </c>
      <c r="AY121" s="130" t="str">
        <f t="shared" si="174"/>
        <v/>
      </c>
      <c r="AZ121" s="130" t="str">
        <f t="shared" si="174"/>
        <v/>
      </c>
      <c r="BA121" s="130" t="str">
        <f t="shared" si="174"/>
        <v/>
      </c>
      <c r="BB121" s="130" t="str">
        <f t="shared" si="174"/>
        <v/>
      </c>
      <c r="BC121" s="130" t="str">
        <f t="shared" si="174"/>
        <v/>
      </c>
      <c r="BD121" s="130" t="str">
        <f t="shared" si="174"/>
        <v/>
      </c>
      <c r="BE121" s="130" t="str">
        <f t="shared" si="174"/>
        <v/>
      </c>
      <c r="BF121" s="130" t="str">
        <f t="shared" si="174"/>
        <v/>
      </c>
      <c r="BG121" s="130" t="str">
        <f t="shared" si="174"/>
        <v/>
      </c>
      <c r="BH121" s="130" t="str">
        <f t="shared" si="174"/>
        <v/>
      </c>
      <c r="BI121" s="130" t="str">
        <f t="shared" si="174"/>
        <v/>
      </c>
      <c r="BJ121" s="130" t="str">
        <f t="shared" si="174"/>
        <v/>
      </c>
      <c r="BK121" s="130" t="str">
        <f t="shared" si="174"/>
        <v/>
      </c>
      <c r="BL121" s="130" t="str">
        <f t="shared" si="174"/>
        <v/>
      </c>
      <c r="BM121" s="130" t="str">
        <f t="shared" si="174"/>
        <v/>
      </c>
      <c r="BN121" s="130" t="str">
        <f t="shared" si="174"/>
        <v/>
      </c>
      <c r="BO121" s="130" t="str">
        <f t="shared" si="174"/>
        <v/>
      </c>
      <c r="BP121" s="130" t="str">
        <f t="shared" si="174"/>
        <v/>
      </c>
      <c r="BQ121" s="131" t="str">
        <f t="shared" si="174"/>
        <v/>
      </c>
      <c r="BR121" s="132" t="s">
        <v>0</v>
      </c>
    </row>
    <row r="122" spans="1:70" ht="19.5" customHeight="1" outlineLevel="1">
      <c r="A122" s="324"/>
      <c r="B122" s="150" t="s">
        <v>742</v>
      </c>
      <c r="C122" s="116"/>
      <c r="D122" s="117"/>
      <c r="E122" s="118"/>
      <c r="F122" s="118" t="s">
        <v>743</v>
      </c>
      <c r="G122" s="118"/>
      <c r="H122" s="118"/>
      <c r="I122" s="119"/>
      <c r="J122" s="120" t="s">
        <v>744</v>
      </c>
      <c r="K122" s="121" t="s">
        <v>745</v>
      </c>
      <c r="L122" s="325" t="s">
        <v>568</v>
      </c>
      <c r="M122" s="122"/>
      <c r="N122" s="123"/>
      <c r="O122" s="122">
        <f t="shared" si="164"/>
        <v>0</v>
      </c>
      <c r="P122" s="327"/>
      <c r="Q122" s="327"/>
      <c r="R122" s="123"/>
      <c r="S122" s="327"/>
      <c r="T122" s="327"/>
      <c r="U122" s="133">
        <f t="shared" ref="U122:U125" si="175">T122+S122</f>
        <v>0</v>
      </c>
      <c r="V122" s="123"/>
      <c r="W122" s="122">
        <f t="shared" si="166"/>
        <v>0</v>
      </c>
      <c r="X122" s="327"/>
      <c r="Y122" s="327"/>
      <c r="Z122" s="125"/>
      <c r="AA122" s="126"/>
      <c r="AB122" s="125"/>
      <c r="AC122" s="127"/>
      <c r="AD122" s="126"/>
      <c r="AE122" s="126"/>
      <c r="AF122" s="128"/>
      <c r="AG122" s="128"/>
      <c r="AH122" s="129"/>
      <c r="AI122" s="326" t="str">
        <f t="shared" ref="AI122:BQ122" si="176">IFERROR(IF(AND($T122&gt;=(EOMONTH(AI$8,-1)+1),$U122&lt;AJ$8,$I122="M"),"u",""),"")</f>
        <v/>
      </c>
      <c r="AJ122" s="130" t="str">
        <f t="shared" si="176"/>
        <v/>
      </c>
      <c r="AK122" s="130" t="str">
        <f t="shared" si="176"/>
        <v/>
      </c>
      <c r="AL122" s="130" t="str">
        <f t="shared" si="176"/>
        <v/>
      </c>
      <c r="AM122" s="130" t="str">
        <f t="shared" si="176"/>
        <v/>
      </c>
      <c r="AN122" s="130" t="str">
        <f t="shared" si="176"/>
        <v/>
      </c>
      <c r="AO122" s="130" t="str">
        <f t="shared" si="176"/>
        <v/>
      </c>
      <c r="AP122" s="130" t="str">
        <f t="shared" si="176"/>
        <v/>
      </c>
      <c r="AQ122" s="130" t="str">
        <f t="shared" si="176"/>
        <v/>
      </c>
      <c r="AR122" s="130" t="str">
        <f t="shared" si="176"/>
        <v/>
      </c>
      <c r="AS122" s="130" t="str">
        <f t="shared" si="176"/>
        <v/>
      </c>
      <c r="AT122" s="130" t="str">
        <f t="shared" si="176"/>
        <v/>
      </c>
      <c r="AU122" s="130" t="str">
        <f t="shared" si="176"/>
        <v/>
      </c>
      <c r="AV122" s="130" t="str">
        <f t="shared" si="176"/>
        <v/>
      </c>
      <c r="AW122" s="130" t="str">
        <f t="shared" si="176"/>
        <v/>
      </c>
      <c r="AX122" s="130" t="str">
        <f t="shared" si="176"/>
        <v/>
      </c>
      <c r="AY122" s="130" t="str">
        <f t="shared" si="176"/>
        <v/>
      </c>
      <c r="AZ122" s="130" t="str">
        <f t="shared" si="176"/>
        <v/>
      </c>
      <c r="BA122" s="130" t="str">
        <f t="shared" si="176"/>
        <v/>
      </c>
      <c r="BB122" s="130" t="str">
        <f t="shared" si="176"/>
        <v/>
      </c>
      <c r="BC122" s="130" t="str">
        <f t="shared" si="176"/>
        <v/>
      </c>
      <c r="BD122" s="130" t="str">
        <f t="shared" si="176"/>
        <v/>
      </c>
      <c r="BE122" s="130" t="str">
        <f t="shared" si="176"/>
        <v/>
      </c>
      <c r="BF122" s="130" t="str">
        <f t="shared" si="176"/>
        <v/>
      </c>
      <c r="BG122" s="130" t="str">
        <f t="shared" si="176"/>
        <v/>
      </c>
      <c r="BH122" s="130" t="str">
        <f t="shared" si="176"/>
        <v/>
      </c>
      <c r="BI122" s="130" t="str">
        <f t="shared" si="176"/>
        <v/>
      </c>
      <c r="BJ122" s="130" t="str">
        <f t="shared" si="176"/>
        <v/>
      </c>
      <c r="BK122" s="130" t="str">
        <f t="shared" si="176"/>
        <v/>
      </c>
      <c r="BL122" s="130" t="str">
        <f t="shared" si="176"/>
        <v/>
      </c>
      <c r="BM122" s="130" t="str">
        <f t="shared" si="176"/>
        <v/>
      </c>
      <c r="BN122" s="130" t="str">
        <f t="shared" si="176"/>
        <v/>
      </c>
      <c r="BO122" s="130" t="str">
        <f t="shared" si="176"/>
        <v/>
      </c>
      <c r="BP122" s="130" t="str">
        <f t="shared" si="176"/>
        <v/>
      </c>
      <c r="BQ122" s="131" t="str">
        <f t="shared" si="176"/>
        <v/>
      </c>
      <c r="BR122" s="132" t="s">
        <v>0</v>
      </c>
    </row>
    <row r="123" spans="1:70" ht="19.5" customHeight="1" outlineLevel="1">
      <c r="A123" s="324"/>
      <c r="B123" s="150" t="s">
        <v>746</v>
      </c>
      <c r="C123" s="116"/>
      <c r="D123" s="117"/>
      <c r="E123" s="118"/>
      <c r="F123" s="118" t="s">
        <v>747</v>
      </c>
      <c r="G123" s="118"/>
      <c r="H123" s="118"/>
      <c r="I123" s="119"/>
      <c r="J123" s="120" t="s">
        <v>748</v>
      </c>
      <c r="K123" s="121" t="s">
        <v>745</v>
      </c>
      <c r="L123" s="325" t="s">
        <v>568</v>
      </c>
      <c r="M123" s="122"/>
      <c r="N123" s="123"/>
      <c r="O123" s="122">
        <f t="shared" si="164"/>
        <v>0</v>
      </c>
      <c r="P123" s="327"/>
      <c r="Q123" s="327"/>
      <c r="R123" s="123"/>
      <c r="S123" s="327"/>
      <c r="T123" s="327"/>
      <c r="U123" s="133">
        <f t="shared" si="175"/>
        <v>0</v>
      </c>
      <c r="V123" s="123"/>
      <c r="W123" s="122">
        <f t="shared" si="166"/>
        <v>0</v>
      </c>
      <c r="X123" s="327"/>
      <c r="Y123" s="327"/>
      <c r="Z123" s="125"/>
      <c r="AA123" s="126"/>
      <c r="AB123" s="125"/>
      <c r="AC123" s="127"/>
      <c r="AD123" s="126"/>
      <c r="AE123" s="126"/>
      <c r="AF123" s="128"/>
      <c r="AG123" s="128"/>
      <c r="AH123" s="129"/>
      <c r="AI123" s="326" t="str">
        <f t="shared" ref="AI123:BQ123" si="177">IFERROR(IF(AND($T123&gt;=(EOMONTH(AI$8,-1)+1),$U123&lt;AJ$8,$I123="M"),"u",""),"")</f>
        <v/>
      </c>
      <c r="AJ123" s="130" t="str">
        <f t="shared" si="177"/>
        <v/>
      </c>
      <c r="AK123" s="130" t="str">
        <f t="shared" si="177"/>
        <v/>
      </c>
      <c r="AL123" s="130" t="str">
        <f t="shared" si="177"/>
        <v/>
      </c>
      <c r="AM123" s="130" t="str">
        <f t="shared" si="177"/>
        <v/>
      </c>
      <c r="AN123" s="130" t="str">
        <f t="shared" si="177"/>
        <v/>
      </c>
      <c r="AO123" s="130" t="str">
        <f t="shared" si="177"/>
        <v/>
      </c>
      <c r="AP123" s="130" t="str">
        <f t="shared" si="177"/>
        <v/>
      </c>
      <c r="AQ123" s="130" t="str">
        <f t="shared" si="177"/>
        <v/>
      </c>
      <c r="AR123" s="130" t="str">
        <f t="shared" si="177"/>
        <v/>
      </c>
      <c r="AS123" s="130" t="str">
        <f t="shared" si="177"/>
        <v/>
      </c>
      <c r="AT123" s="130" t="str">
        <f t="shared" si="177"/>
        <v/>
      </c>
      <c r="AU123" s="130" t="str">
        <f t="shared" si="177"/>
        <v/>
      </c>
      <c r="AV123" s="130" t="str">
        <f t="shared" si="177"/>
        <v/>
      </c>
      <c r="AW123" s="130" t="str">
        <f t="shared" si="177"/>
        <v/>
      </c>
      <c r="AX123" s="130" t="str">
        <f t="shared" si="177"/>
        <v/>
      </c>
      <c r="AY123" s="130" t="str">
        <f t="shared" si="177"/>
        <v/>
      </c>
      <c r="AZ123" s="130" t="str">
        <f t="shared" si="177"/>
        <v/>
      </c>
      <c r="BA123" s="130" t="str">
        <f t="shared" si="177"/>
        <v/>
      </c>
      <c r="BB123" s="130" t="str">
        <f t="shared" si="177"/>
        <v/>
      </c>
      <c r="BC123" s="130" t="str">
        <f t="shared" si="177"/>
        <v/>
      </c>
      <c r="BD123" s="130" t="str">
        <f t="shared" si="177"/>
        <v/>
      </c>
      <c r="BE123" s="130" t="str">
        <f t="shared" si="177"/>
        <v/>
      </c>
      <c r="BF123" s="130" t="str">
        <f t="shared" si="177"/>
        <v/>
      </c>
      <c r="BG123" s="130" t="str">
        <f t="shared" si="177"/>
        <v/>
      </c>
      <c r="BH123" s="130" t="str">
        <f t="shared" si="177"/>
        <v/>
      </c>
      <c r="BI123" s="130" t="str">
        <f t="shared" si="177"/>
        <v/>
      </c>
      <c r="BJ123" s="130" t="str">
        <f t="shared" si="177"/>
        <v/>
      </c>
      <c r="BK123" s="130" t="str">
        <f t="shared" si="177"/>
        <v/>
      </c>
      <c r="BL123" s="130" t="str">
        <f t="shared" si="177"/>
        <v/>
      </c>
      <c r="BM123" s="130" t="str">
        <f t="shared" si="177"/>
        <v/>
      </c>
      <c r="BN123" s="130" t="str">
        <f t="shared" si="177"/>
        <v/>
      </c>
      <c r="BO123" s="130" t="str">
        <f t="shared" si="177"/>
        <v/>
      </c>
      <c r="BP123" s="130" t="str">
        <f t="shared" si="177"/>
        <v/>
      </c>
      <c r="BQ123" s="131" t="str">
        <f t="shared" si="177"/>
        <v/>
      </c>
      <c r="BR123" s="132" t="s">
        <v>0</v>
      </c>
    </row>
    <row r="124" spans="1:70" ht="19.5" customHeight="1" outlineLevel="1">
      <c r="A124" s="324"/>
      <c r="B124" s="150" t="s">
        <v>749</v>
      </c>
      <c r="C124" s="116"/>
      <c r="D124" s="117"/>
      <c r="E124" s="118"/>
      <c r="F124" s="118" t="s">
        <v>750</v>
      </c>
      <c r="G124" s="118"/>
      <c r="H124" s="118"/>
      <c r="I124" s="119"/>
      <c r="J124" s="120" t="s">
        <v>751</v>
      </c>
      <c r="K124" s="121" t="s">
        <v>745</v>
      </c>
      <c r="L124" s="325" t="s">
        <v>568</v>
      </c>
      <c r="M124" s="122"/>
      <c r="N124" s="123"/>
      <c r="O124" s="122">
        <f t="shared" si="164"/>
        <v>0</v>
      </c>
      <c r="P124" s="327"/>
      <c r="Q124" s="327"/>
      <c r="R124" s="123"/>
      <c r="S124" s="327"/>
      <c r="T124" s="327"/>
      <c r="U124" s="133">
        <f t="shared" si="175"/>
        <v>0</v>
      </c>
      <c r="V124" s="123"/>
      <c r="W124" s="122">
        <f t="shared" si="166"/>
        <v>0</v>
      </c>
      <c r="X124" s="327"/>
      <c r="Y124" s="327"/>
      <c r="Z124" s="125"/>
      <c r="AA124" s="126"/>
      <c r="AB124" s="125"/>
      <c r="AC124" s="127"/>
      <c r="AD124" s="126"/>
      <c r="AE124" s="126"/>
      <c r="AF124" s="128"/>
      <c r="AG124" s="128"/>
      <c r="AH124" s="129"/>
      <c r="AI124" s="326" t="str">
        <f t="shared" ref="AI124:BQ124" si="178">IFERROR(IF(AND($T124&gt;=(EOMONTH(AI$8,-1)+1),$U124&lt;AJ$8,$I124="M"),"u",""),"")</f>
        <v/>
      </c>
      <c r="AJ124" s="130" t="str">
        <f t="shared" si="178"/>
        <v/>
      </c>
      <c r="AK124" s="130" t="str">
        <f t="shared" si="178"/>
        <v/>
      </c>
      <c r="AL124" s="130" t="str">
        <f t="shared" si="178"/>
        <v/>
      </c>
      <c r="AM124" s="130" t="str">
        <f t="shared" si="178"/>
        <v/>
      </c>
      <c r="AN124" s="130" t="str">
        <f t="shared" si="178"/>
        <v/>
      </c>
      <c r="AO124" s="130" t="str">
        <f t="shared" si="178"/>
        <v/>
      </c>
      <c r="AP124" s="130" t="str">
        <f t="shared" si="178"/>
        <v/>
      </c>
      <c r="AQ124" s="130" t="str">
        <f t="shared" si="178"/>
        <v/>
      </c>
      <c r="AR124" s="130" t="str">
        <f t="shared" si="178"/>
        <v/>
      </c>
      <c r="AS124" s="130" t="str">
        <f t="shared" si="178"/>
        <v/>
      </c>
      <c r="AT124" s="130" t="str">
        <f t="shared" si="178"/>
        <v/>
      </c>
      <c r="AU124" s="130" t="str">
        <f t="shared" si="178"/>
        <v/>
      </c>
      <c r="AV124" s="130" t="str">
        <f t="shared" si="178"/>
        <v/>
      </c>
      <c r="AW124" s="130" t="str">
        <f t="shared" si="178"/>
        <v/>
      </c>
      <c r="AX124" s="130" t="str">
        <f t="shared" si="178"/>
        <v/>
      </c>
      <c r="AY124" s="130" t="str">
        <f t="shared" si="178"/>
        <v/>
      </c>
      <c r="AZ124" s="130" t="str">
        <f t="shared" si="178"/>
        <v/>
      </c>
      <c r="BA124" s="130" t="str">
        <f t="shared" si="178"/>
        <v/>
      </c>
      <c r="BB124" s="130" t="str">
        <f t="shared" si="178"/>
        <v/>
      </c>
      <c r="BC124" s="130" t="str">
        <f t="shared" si="178"/>
        <v/>
      </c>
      <c r="BD124" s="130" t="str">
        <f t="shared" si="178"/>
        <v/>
      </c>
      <c r="BE124" s="130" t="str">
        <f t="shared" si="178"/>
        <v/>
      </c>
      <c r="BF124" s="130" t="str">
        <f t="shared" si="178"/>
        <v/>
      </c>
      <c r="BG124" s="130" t="str">
        <f t="shared" si="178"/>
        <v/>
      </c>
      <c r="BH124" s="130" t="str">
        <f t="shared" si="178"/>
        <v/>
      </c>
      <c r="BI124" s="130" t="str">
        <f t="shared" si="178"/>
        <v/>
      </c>
      <c r="BJ124" s="130" t="str">
        <f t="shared" si="178"/>
        <v/>
      </c>
      <c r="BK124" s="130" t="str">
        <f t="shared" si="178"/>
        <v/>
      </c>
      <c r="BL124" s="130" t="str">
        <f t="shared" si="178"/>
        <v/>
      </c>
      <c r="BM124" s="130" t="str">
        <f t="shared" si="178"/>
        <v/>
      </c>
      <c r="BN124" s="130" t="str">
        <f t="shared" si="178"/>
        <v/>
      </c>
      <c r="BO124" s="130" t="str">
        <f t="shared" si="178"/>
        <v/>
      </c>
      <c r="BP124" s="130" t="str">
        <f t="shared" si="178"/>
        <v/>
      </c>
      <c r="BQ124" s="131" t="str">
        <f t="shared" si="178"/>
        <v/>
      </c>
      <c r="BR124" s="132" t="s">
        <v>0</v>
      </c>
    </row>
    <row r="125" spans="1:70" ht="19.5" customHeight="1" outlineLevel="1">
      <c r="A125" s="324"/>
      <c r="B125" s="151" t="s">
        <v>752</v>
      </c>
      <c r="C125" s="116"/>
      <c r="D125" s="117"/>
      <c r="E125" s="118"/>
      <c r="F125" s="118" t="s">
        <v>753</v>
      </c>
      <c r="G125" s="118"/>
      <c r="H125" s="118"/>
      <c r="I125" s="119"/>
      <c r="J125" s="120" t="s">
        <v>754</v>
      </c>
      <c r="K125" s="121" t="s">
        <v>745</v>
      </c>
      <c r="L125" s="325" t="s">
        <v>568</v>
      </c>
      <c r="M125" s="122"/>
      <c r="N125" s="123"/>
      <c r="O125" s="122">
        <f t="shared" si="164"/>
        <v>0</v>
      </c>
      <c r="P125" s="327"/>
      <c r="Q125" s="327"/>
      <c r="R125" s="123"/>
      <c r="S125" s="327"/>
      <c r="T125" s="327"/>
      <c r="U125" s="133">
        <f t="shared" si="175"/>
        <v>0</v>
      </c>
      <c r="V125" s="123"/>
      <c r="W125" s="122">
        <f t="shared" si="166"/>
        <v>0</v>
      </c>
      <c r="X125" s="327"/>
      <c r="Y125" s="327"/>
      <c r="Z125" s="125"/>
      <c r="AA125" s="126"/>
      <c r="AB125" s="125"/>
      <c r="AC125" s="127"/>
      <c r="AD125" s="126" t="s">
        <v>755</v>
      </c>
      <c r="AE125" s="126"/>
      <c r="AF125" s="128"/>
      <c r="AG125" s="128"/>
      <c r="AH125" s="129"/>
      <c r="AI125" s="326" t="str">
        <f t="shared" ref="AI125:BQ125" si="179">IFERROR(IF(AND($T125&gt;=(EOMONTH(AI$8,-1)+1),$U125&lt;AJ$8,$I125="M"),"u",""),"")</f>
        <v/>
      </c>
      <c r="AJ125" s="130" t="str">
        <f t="shared" si="179"/>
        <v/>
      </c>
      <c r="AK125" s="130" t="str">
        <f t="shared" si="179"/>
        <v/>
      </c>
      <c r="AL125" s="130" t="str">
        <f t="shared" si="179"/>
        <v/>
      </c>
      <c r="AM125" s="130" t="str">
        <f t="shared" si="179"/>
        <v/>
      </c>
      <c r="AN125" s="130" t="str">
        <f t="shared" si="179"/>
        <v/>
      </c>
      <c r="AO125" s="130" t="str">
        <f t="shared" si="179"/>
        <v/>
      </c>
      <c r="AP125" s="130" t="str">
        <f t="shared" si="179"/>
        <v/>
      </c>
      <c r="AQ125" s="130" t="str">
        <f t="shared" si="179"/>
        <v/>
      </c>
      <c r="AR125" s="130" t="str">
        <f t="shared" si="179"/>
        <v/>
      </c>
      <c r="AS125" s="130" t="str">
        <f t="shared" si="179"/>
        <v/>
      </c>
      <c r="AT125" s="130" t="str">
        <f t="shared" si="179"/>
        <v/>
      </c>
      <c r="AU125" s="130" t="str">
        <f t="shared" si="179"/>
        <v/>
      </c>
      <c r="AV125" s="130" t="str">
        <f t="shared" si="179"/>
        <v/>
      </c>
      <c r="AW125" s="130" t="str">
        <f t="shared" si="179"/>
        <v/>
      </c>
      <c r="AX125" s="130" t="str">
        <f t="shared" si="179"/>
        <v/>
      </c>
      <c r="AY125" s="130" t="str">
        <f t="shared" si="179"/>
        <v/>
      </c>
      <c r="AZ125" s="130" t="str">
        <f t="shared" si="179"/>
        <v/>
      </c>
      <c r="BA125" s="130" t="str">
        <f t="shared" si="179"/>
        <v/>
      </c>
      <c r="BB125" s="130" t="str">
        <f t="shared" si="179"/>
        <v/>
      </c>
      <c r="BC125" s="130" t="str">
        <f t="shared" si="179"/>
        <v/>
      </c>
      <c r="BD125" s="130" t="str">
        <f t="shared" si="179"/>
        <v/>
      </c>
      <c r="BE125" s="130" t="str">
        <f t="shared" si="179"/>
        <v/>
      </c>
      <c r="BF125" s="130" t="str">
        <f t="shared" si="179"/>
        <v/>
      </c>
      <c r="BG125" s="130" t="str">
        <f t="shared" si="179"/>
        <v/>
      </c>
      <c r="BH125" s="130" t="str">
        <f t="shared" si="179"/>
        <v/>
      </c>
      <c r="BI125" s="130" t="str">
        <f t="shared" si="179"/>
        <v/>
      </c>
      <c r="BJ125" s="130" t="str">
        <f t="shared" si="179"/>
        <v/>
      </c>
      <c r="BK125" s="130" t="str">
        <f t="shared" si="179"/>
        <v/>
      </c>
      <c r="BL125" s="130" t="str">
        <f t="shared" si="179"/>
        <v/>
      </c>
      <c r="BM125" s="130" t="str">
        <f t="shared" si="179"/>
        <v/>
      </c>
      <c r="BN125" s="130" t="str">
        <f t="shared" si="179"/>
        <v/>
      </c>
      <c r="BO125" s="130" t="str">
        <f t="shared" si="179"/>
        <v/>
      </c>
      <c r="BP125" s="130" t="str">
        <f t="shared" si="179"/>
        <v/>
      </c>
      <c r="BQ125" s="131" t="str">
        <f t="shared" si="179"/>
        <v/>
      </c>
      <c r="BR125" s="132" t="s">
        <v>0</v>
      </c>
    </row>
    <row r="126" spans="1:70" ht="19.5" customHeight="1" outlineLevel="1">
      <c r="A126" s="307"/>
      <c r="B126" s="380">
        <v>3.2</v>
      </c>
      <c r="C126" s="84"/>
      <c r="D126" s="85"/>
      <c r="E126" s="35"/>
      <c r="F126" s="35" t="s">
        <v>756</v>
      </c>
      <c r="G126" s="35"/>
      <c r="H126" s="35"/>
      <c r="I126" s="38"/>
      <c r="J126" s="86"/>
      <c r="K126" s="87"/>
      <c r="L126" s="249"/>
      <c r="M126" s="32"/>
      <c r="N126" s="22"/>
      <c r="O126" s="32"/>
      <c r="P126" s="53"/>
      <c r="Q126" s="53"/>
      <c r="R126" s="22"/>
      <c r="S126" s="53"/>
      <c r="T126" s="53"/>
      <c r="U126" s="138"/>
      <c r="V126" s="22"/>
      <c r="W126" s="32"/>
      <c r="X126" s="53"/>
      <c r="Y126" s="53"/>
      <c r="Z126" s="24"/>
      <c r="AA126" s="40"/>
      <c r="AB126" s="24"/>
      <c r="AC126" s="46"/>
      <c r="AD126" s="40"/>
      <c r="AE126" s="40"/>
      <c r="AF126" s="41"/>
      <c r="AG126" s="41"/>
      <c r="AH126" s="28"/>
      <c r="AI126" s="309" t="str">
        <f t="shared" ref="AI126:BQ126" si="180">IFERROR(IF(AND($T126&gt;=(EOMONTH(AI$8,-1)+1),$U126&lt;AJ$8,$I126="M"),"u",""),"")</f>
        <v/>
      </c>
      <c r="AJ126" s="89" t="str">
        <f t="shared" si="180"/>
        <v/>
      </c>
      <c r="AK126" s="89" t="str">
        <f t="shared" si="180"/>
        <v/>
      </c>
      <c r="AL126" s="89" t="str">
        <f t="shared" si="180"/>
        <v/>
      </c>
      <c r="AM126" s="89" t="str">
        <f t="shared" si="180"/>
        <v/>
      </c>
      <c r="AN126" s="89" t="str">
        <f t="shared" si="180"/>
        <v/>
      </c>
      <c r="AO126" s="89" t="str">
        <f t="shared" si="180"/>
        <v/>
      </c>
      <c r="AP126" s="89" t="str">
        <f t="shared" si="180"/>
        <v/>
      </c>
      <c r="AQ126" s="89" t="str">
        <f t="shared" si="180"/>
        <v/>
      </c>
      <c r="AR126" s="89" t="str">
        <f t="shared" si="180"/>
        <v/>
      </c>
      <c r="AS126" s="89" t="str">
        <f t="shared" si="180"/>
        <v/>
      </c>
      <c r="AT126" s="89" t="str">
        <f t="shared" si="180"/>
        <v/>
      </c>
      <c r="AU126" s="89" t="str">
        <f t="shared" si="180"/>
        <v/>
      </c>
      <c r="AV126" s="89" t="str">
        <f t="shared" si="180"/>
        <v/>
      </c>
      <c r="AW126" s="89" t="str">
        <f t="shared" si="180"/>
        <v/>
      </c>
      <c r="AX126" s="89" t="str">
        <f t="shared" si="180"/>
        <v/>
      </c>
      <c r="AY126" s="89" t="str">
        <f t="shared" si="180"/>
        <v/>
      </c>
      <c r="AZ126" s="89" t="str">
        <f t="shared" si="180"/>
        <v/>
      </c>
      <c r="BA126" s="89" t="str">
        <f t="shared" si="180"/>
        <v/>
      </c>
      <c r="BB126" s="89" t="str">
        <f t="shared" si="180"/>
        <v/>
      </c>
      <c r="BC126" s="89" t="str">
        <f t="shared" si="180"/>
        <v/>
      </c>
      <c r="BD126" s="89" t="str">
        <f t="shared" si="180"/>
        <v/>
      </c>
      <c r="BE126" s="89" t="str">
        <f t="shared" si="180"/>
        <v/>
      </c>
      <c r="BF126" s="89" t="str">
        <f t="shared" si="180"/>
        <v/>
      </c>
      <c r="BG126" s="89" t="str">
        <f t="shared" si="180"/>
        <v/>
      </c>
      <c r="BH126" s="89" t="str">
        <f t="shared" si="180"/>
        <v/>
      </c>
      <c r="BI126" s="89" t="str">
        <f t="shared" si="180"/>
        <v/>
      </c>
      <c r="BJ126" s="89" t="str">
        <f t="shared" si="180"/>
        <v/>
      </c>
      <c r="BK126" s="89" t="str">
        <f t="shared" si="180"/>
        <v/>
      </c>
      <c r="BL126" s="89" t="str">
        <f t="shared" si="180"/>
        <v/>
      </c>
      <c r="BM126" s="89" t="str">
        <f t="shared" si="180"/>
        <v/>
      </c>
      <c r="BN126" s="89" t="str">
        <f t="shared" si="180"/>
        <v/>
      </c>
      <c r="BO126" s="89" t="str">
        <f t="shared" si="180"/>
        <v/>
      </c>
      <c r="BP126" s="89" t="str">
        <f t="shared" si="180"/>
        <v/>
      </c>
      <c r="BQ126" s="90" t="str">
        <f t="shared" si="180"/>
        <v/>
      </c>
      <c r="BR126" s="11"/>
    </row>
    <row r="127" spans="1:70" ht="19.5" customHeight="1" outlineLevel="1">
      <c r="A127" s="307"/>
      <c r="B127" s="380">
        <v>3.3</v>
      </c>
      <c r="C127" s="84"/>
      <c r="D127" s="85"/>
      <c r="E127" s="35"/>
      <c r="F127" s="35" t="s">
        <v>757</v>
      </c>
      <c r="G127" s="35"/>
      <c r="H127" s="35"/>
      <c r="I127" s="38"/>
      <c r="J127" s="86"/>
      <c r="K127" s="87"/>
      <c r="L127" s="249"/>
      <c r="M127" s="32"/>
      <c r="N127" s="22"/>
      <c r="O127" s="32"/>
      <c r="P127" s="53"/>
      <c r="Q127" s="53"/>
      <c r="R127" s="22"/>
      <c r="S127" s="53"/>
      <c r="T127" s="53"/>
      <c r="U127" s="138"/>
      <c r="V127" s="22"/>
      <c r="W127" s="32"/>
      <c r="X127" s="53"/>
      <c r="Y127" s="53"/>
      <c r="Z127" s="24"/>
      <c r="AA127" s="40"/>
      <c r="AB127" s="24"/>
      <c r="AC127" s="46"/>
      <c r="AD127" s="40"/>
      <c r="AE127" s="40"/>
      <c r="AF127" s="41"/>
      <c r="AG127" s="41"/>
      <c r="AH127" s="28"/>
      <c r="AI127" s="309" t="str">
        <f t="shared" ref="AI127:BQ127" si="181">IFERROR(IF(AND($T127&gt;=(EOMONTH(AI$8,-1)+1),$U127&lt;AJ$8,$I127="M"),"u",""),"")</f>
        <v/>
      </c>
      <c r="AJ127" s="89" t="str">
        <f t="shared" si="181"/>
        <v/>
      </c>
      <c r="AK127" s="89" t="str">
        <f t="shared" si="181"/>
        <v/>
      </c>
      <c r="AL127" s="89" t="str">
        <f t="shared" si="181"/>
        <v/>
      </c>
      <c r="AM127" s="89" t="str">
        <f t="shared" si="181"/>
        <v/>
      </c>
      <c r="AN127" s="89" t="str">
        <f t="shared" si="181"/>
        <v/>
      </c>
      <c r="AO127" s="89" t="str">
        <f t="shared" si="181"/>
        <v/>
      </c>
      <c r="AP127" s="89" t="str">
        <f t="shared" si="181"/>
        <v/>
      </c>
      <c r="AQ127" s="89" t="str">
        <f t="shared" si="181"/>
        <v/>
      </c>
      <c r="AR127" s="89" t="str">
        <f t="shared" si="181"/>
        <v/>
      </c>
      <c r="AS127" s="89" t="str">
        <f t="shared" si="181"/>
        <v/>
      </c>
      <c r="AT127" s="89" t="str">
        <f t="shared" si="181"/>
        <v/>
      </c>
      <c r="AU127" s="89" t="str">
        <f t="shared" si="181"/>
        <v/>
      </c>
      <c r="AV127" s="89" t="str">
        <f t="shared" si="181"/>
        <v/>
      </c>
      <c r="AW127" s="89" t="str">
        <f t="shared" si="181"/>
        <v/>
      </c>
      <c r="AX127" s="89" t="str">
        <f t="shared" si="181"/>
        <v/>
      </c>
      <c r="AY127" s="89" t="str">
        <f t="shared" si="181"/>
        <v/>
      </c>
      <c r="AZ127" s="89" t="str">
        <f t="shared" si="181"/>
        <v/>
      </c>
      <c r="BA127" s="89" t="str">
        <f t="shared" si="181"/>
        <v/>
      </c>
      <c r="BB127" s="89" t="str">
        <f t="shared" si="181"/>
        <v/>
      </c>
      <c r="BC127" s="89" t="str">
        <f t="shared" si="181"/>
        <v/>
      </c>
      <c r="BD127" s="89" t="str">
        <f t="shared" si="181"/>
        <v/>
      </c>
      <c r="BE127" s="89" t="str">
        <f t="shared" si="181"/>
        <v/>
      </c>
      <c r="BF127" s="89" t="str">
        <f t="shared" si="181"/>
        <v/>
      </c>
      <c r="BG127" s="89" t="str">
        <f t="shared" si="181"/>
        <v/>
      </c>
      <c r="BH127" s="89" t="str">
        <f t="shared" si="181"/>
        <v/>
      </c>
      <c r="BI127" s="89" t="str">
        <f t="shared" si="181"/>
        <v/>
      </c>
      <c r="BJ127" s="89" t="str">
        <f t="shared" si="181"/>
        <v/>
      </c>
      <c r="BK127" s="89" t="str">
        <f t="shared" si="181"/>
        <v/>
      </c>
      <c r="BL127" s="89" t="str">
        <f t="shared" si="181"/>
        <v/>
      </c>
      <c r="BM127" s="89" t="str">
        <f t="shared" si="181"/>
        <v/>
      </c>
      <c r="BN127" s="89" t="str">
        <f t="shared" si="181"/>
        <v/>
      </c>
      <c r="BO127" s="89" t="str">
        <f t="shared" si="181"/>
        <v/>
      </c>
      <c r="BP127" s="89" t="str">
        <f t="shared" si="181"/>
        <v/>
      </c>
      <c r="BQ127" s="90" t="str">
        <f t="shared" si="181"/>
        <v/>
      </c>
      <c r="BR127" s="11"/>
    </row>
    <row r="128" spans="1:70" ht="19.5" customHeight="1">
      <c r="A128" s="381" t="s">
        <v>0</v>
      </c>
      <c r="B128" s="382"/>
      <c r="C128" s="383"/>
      <c r="D128" s="384"/>
      <c r="E128" s="385" t="s">
        <v>758</v>
      </c>
      <c r="F128" s="385"/>
      <c r="G128" s="385"/>
      <c r="H128" s="385"/>
      <c r="I128" s="386"/>
      <c r="J128" s="387"/>
      <c r="K128" s="388"/>
      <c r="L128" s="389" t="s">
        <v>759</v>
      </c>
      <c r="M128" s="390"/>
      <c r="N128" s="22"/>
      <c r="O128" s="32">
        <f t="shared" ref="O128:O134" si="182">NETWORKDAYS(P128,Q128)</f>
        <v>1629</v>
      </c>
      <c r="P128" s="44">
        <f>MIN(P129:P140)</f>
        <v>45689</v>
      </c>
      <c r="Q128" s="44">
        <f>MAX(Q129:Q140)</f>
        <v>47969</v>
      </c>
      <c r="R128" s="22"/>
      <c r="S128" s="44">
        <f>MIN(S129:S140)</f>
        <v>0</v>
      </c>
      <c r="T128" s="44"/>
      <c r="U128" s="44"/>
      <c r="V128" s="22"/>
      <c r="W128" s="32">
        <f t="shared" ref="W128:W134" si="183">NETWORKDAYS(X128,Y128)</f>
        <v>0</v>
      </c>
      <c r="X128" s="44"/>
      <c r="Y128" s="44"/>
      <c r="Z128" s="24"/>
      <c r="AA128" s="97"/>
      <c r="AB128" s="24"/>
      <c r="AC128" s="98" t="e">
        <f>AVERAGE(AC129:AC131)</f>
        <v>#DIV/0!</v>
      </c>
      <c r="AD128" s="97"/>
      <c r="AE128" s="97"/>
      <c r="AF128" s="99"/>
      <c r="AG128" s="99"/>
      <c r="AH128" s="28"/>
      <c r="AI128" s="319" t="str">
        <f t="shared" ref="AI128:BQ128" si="184">IFERROR(IF(AND($T128&gt;=(EOMONTH(AI$8,-1)+1),$U128&lt;AJ$8,$I128="M"),"u",""),"")</f>
        <v/>
      </c>
      <c r="AJ128" s="92" t="str">
        <f t="shared" si="184"/>
        <v/>
      </c>
      <c r="AK128" s="92" t="str">
        <f t="shared" si="184"/>
        <v/>
      </c>
      <c r="AL128" s="92" t="str">
        <f t="shared" si="184"/>
        <v/>
      </c>
      <c r="AM128" s="92" t="str">
        <f t="shared" si="184"/>
        <v/>
      </c>
      <c r="AN128" s="92" t="str">
        <f t="shared" si="184"/>
        <v/>
      </c>
      <c r="AO128" s="92" t="str">
        <f t="shared" si="184"/>
        <v/>
      </c>
      <c r="AP128" s="92" t="str">
        <f t="shared" si="184"/>
        <v/>
      </c>
      <c r="AQ128" s="92" t="str">
        <f t="shared" si="184"/>
        <v/>
      </c>
      <c r="AR128" s="92" t="str">
        <f t="shared" si="184"/>
        <v/>
      </c>
      <c r="AS128" s="92" t="str">
        <f t="shared" si="184"/>
        <v/>
      </c>
      <c r="AT128" s="92" t="str">
        <f t="shared" si="184"/>
        <v/>
      </c>
      <c r="AU128" s="92" t="str">
        <f t="shared" si="184"/>
        <v/>
      </c>
      <c r="AV128" s="92" t="str">
        <f t="shared" si="184"/>
        <v/>
      </c>
      <c r="AW128" s="92" t="str">
        <f t="shared" si="184"/>
        <v/>
      </c>
      <c r="AX128" s="92" t="str">
        <f t="shared" si="184"/>
        <v/>
      </c>
      <c r="AY128" s="92" t="str">
        <f t="shared" si="184"/>
        <v/>
      </c>
      <c r="AZ128" s="92" t="str">
        <f t="shared" si="184"/>
        <v/>
      </c>
      <c r="BA128" s="92" t="str">
        <f t="shared" si="184"/>
        <v/>
      </c>
      <c r="BB128" s="92" t="str">
        <f t="shared" si="184"/>
        <v/>
      </c>
      <c r="BC128" s="92" t="str">
        <f t="shared" si="184"/>
        <v/>
      </c>
      <c r="BD128" s="92" t="str">
        <f t="shared" si="184"/>
        <v/>
      </c>
      <c r="BE128" s="92" t="str">
        <f t="shared" si="184"/>
        <v/>
      </c>
      <c r="BF128" s="92" t="str">
        <f t="shared" si="184"/>
        <v/>
      </c>
      <c r="BG128" s="92" t="str">
        <f t="shared" si="184"/>
        <v/>
      </c>
      <c r="BH128" s="92" t="str">
        <f t="shared" si="184"/>
        <v/>
      </c>
      <c r="BI128" s="92" t="str">
        <f t="shared" si="184"/>
        <v/>
      </c>
      <c r="BJ128" s="92" t="str">
        <f t="shared" si="184"/>
        <v/>
      </c>
      <c r="BK128" s="92" t="str">
        <f t="shared" si="184"/>
        <v/>
      </c>
      <c r="BL128" s="92" t="str">
        <f t="shared" si="184"/>
        <v/>
      </c>
      <c r="BM128" s="92" t="str">
        <f t="shared" si="184"/>
        <v/>
      </c>
      <c r="BN128" s="92" t="str">
        <f t="shared" si="184"/>
        <v/>
      </c>
      <c r="BO128" s="92" t="str">
        <f t="shared" si="184"/>
        <v/>
      </c>
      <c r="BP128" s="92" t="str">
        <f t="shared" si="184"/>
        <v/>
      </c>
      <c r="BQ128" s="93" t="str">
        <f t="shared" si="184"/>
        <v/>
      </c>
      <c r="BR128" s="11" t="s">
        <v>0</v>
      </c>
    </row>
    <row r="129" spans="1:70" ht="19.5" customHeight="1" outlineLevel="1">
      <c r="A129" s="324"/>
      <c r="B129" s="115" t="s">
        <v>0</v>
      </c>
      <c r="C129" s="116"/>
      <c r="D129" s="117"/>
      <c r="E129" s="118"/>
      <c r="F129" s="118" t="s">
        <v>760</v>
      </c>
      <c r="G129" s="118"/>
      <c r="H129" s="118"/>
      <c r="I129" s="119"/>
      <c r="J129" s="120"/>
      <c r="K129" s="142"/>
      <c r="L129" s="325" t="s">
        <v>759</v>
      </c>
      <c r="M129" s="122"/>
      <c r="N129" s="123"/>
      <c r="O129" s="122">
        <f t="shared" si="182"/>
        <v>21</v>
      </c>
      <c r="P129" s="327">
        <v>45689</v>
      </c>
      <c r="Q129" s="327">
        <v>45719</v>
      </c>
      <c r="R129" s="123"/>
      <c r="S129" s="122">
        <f t="shared" ref="S129:S132" si="185">NETWORKDAYS(T129,U129)</f>
        <v>0</v>
      </c>
      <c r="T129" s="327"/>
      <c r="U129" s="327"/>
      <c r="V129" s="123"/>
      <c r="W129" s="122">
        <f t="shared" si="183"/>
        <v>21</v>
      </c>
      <c r="X129" s="327">
        <v>45611</v>
      </c>
      <c r="Y129" s="327">
        <f>X129+30</f>
        <v>45641</v>
      </c>
      <c r="Z129" s="125"/>
      <c r="AA129" s="126" t="s">
        <v>761</v>
      </c>
      <c r="AB129" s="125"/>
      <c r="AC129" s="127"/>
      <c r="AD129" s="126" t="s">
        <v>518</v>
      </c>
      <c r="AE129" s="126"/>
      <c r="AF129" s="128"/>
      <c r="AG129" s="128"/>
      <c r="AH129" s="129"/>
      <c r="AI129" s="391" t="str">
        <f t="shared" ref="AI129:BQ129" si="186">IFERROR(IF(AND($T129&gt;=(EOMONTH(AI$8,-1)+1),$U129&lt;AJ$8,$I129="M"),"u",""),"")</f>
        <v/>
      </c>
      <c r="AJ129" s="152" t="str">
        <f t="shared" si="186"/>
        <v/>
      </c>
      <c r="AK129" s="152" t="str">
        <f t="shared" si="186"/>
        <v/>
      </c>
      <c r="AL129" s="152" t="str">
        <f t="shared" si="186"/>
        <v/>
      </c>
      <c r="AM129" s="152" t="str">
        <f t="shared" si="186"/>
        <v/>
      </c>
      <c r="AN129" s="152" t="str">
        <f t="shared" si="186"/>
        <v/>
      </c>
      <c r="AO129" s="152" t="str">
        <f t="shared" si="186"/>
        <v/>
      </c>
      <c r="AP129" s="152" t="str">
        <f t="shared" si="186"/>
        <v/>
      </c>
      <c r="AQ129" s="152" t="str">
        <f t="shared" si="186"/>
        <v/>
      </c>
      <c r="AR129" s="152" t="str">
        <f t="shared" si="186"/>
        <v/>
      </c>
      <c r="AS129" s="152" t="str">
        <f t="shared" si="186"/>
        <v/>
      </c>
      <c r="AT129" s="152" t="str">
        <f t="shared" si="186"/>
        <v/>
      </c>
      <c r="AU129" s="152" t="str">
        <f t="shared" si="186"/>
        <v/>
      </c>
      <c r="AV129" s="152" t="str">
        <f t="shared" si="186"/>
        <v/>
      </c>
      <c r="AW129" s="152" t="str">
        <f t="shared" si="186"/>
        <v/>
      </c>
      <c r="AX129" s="152" t="str">
        <f t="shared" si="186"/>
        <v/>
      </c>
      <c r="AY129" s="152" t="str">
        <f t="shared" si="186"/>
        <v/>
      </c>
      <c r="AZ129" s="152" t="str">
        <f t="shared" si="186"/>
        <v/>
      </c>
      <c r="BA129" s="152" t="str">
        <f t="shared" si="186"/>
        <v/>
      </c>
      <c r="BB129" s="152" t="str">
        <f t="shared" si="186"/>
        <v/>
      </c>
      <c r="BC129" s="152" t="str">
        <f t="shared" si="186"/>
        <v/>
      </c>
      <c r="BD129" s="152" t="str">
        <f t="shared" si="186"/>
        <v/>
      </c>
      <c r="BE129" s="152" t="str">
        <f t="shared" si="186"/>
        <v/>
      </c>
      <c r="BF129" s="152" t="str">
        <f t="shared" si="186"/>
        <v/>
      </c>
      <c r="BG129" s="152" t="str">
        <f t="shared" si="186"/>
        <v/>
      </c>
      <c r="BH129" s="152" t="str">
        <f t="shared" si="186"/>
        <v/>
      </c>
      <c r="BI129" s="152" t="str">
        <f t="shared" si="186"/>
        <v/>
      </c>
      <c r="BJ129" s="152" t="str">
        <f t="shared" si="186"/>
        <v/>
      </c>
      <c r="BK129" s="152" t="str">
        <f t="shared" si="186"/>
        <v/>
      </c>
      <c r="BL129" s="152" t="str">
        <f t="shared" si="186"/>
        <v/>
      </c>
      <c r="BM129" s="152" t="str">
        <f t="shared" si="186"/>
        <v/>
      </c>
      <c r="BN129" s="152" t="str">
        <f t="shared" si="186"/>
        <v/>
      </c>
      <c r="BO129" s="152" t="str">
        <f t="shared" si="186"/>
        <v/>
      </c>
      <c r="BP129" s="152" t="str">
        <f t="shared" si="186"/>
        <v/>
      </c>
      <c r="BQ129" s="153" t="str">
        <f t="shared" si="186"/>
        <v/>
      </c>
      <c r="BR129" s="132" t="s">
        <v>0</v>
      </c>
    </row>
    <row r="130" spans="1:70" ht="19.5" customHeight="1" outlineLevel="1">
      <c r="A130" s="324"/>
      <c r="B130" s="115" t="s">
        <v>0</v>
      </c>
      <c r="C130" s="116"/>
      <c r="D130" s="117"/>
      <c r="E130" s="118"/>
      <c r="F130" s="118" t="s">
        <v>762</v>
      </c>
      <c r="G130" s="118"/>
      <c r="H130" s="118"/>
      <c r="I130" s="119"/>
      <c r="J130" s="120" t="s">
        <v>763</v>
      </c>
      <c r="K130" s="121" t="s">
        <v>764</v>
      </c>
      <c r="L130" s="325" t="s">
        <v>759</v>
      </c>
      <c r="M130" s="122"/>
      <c r="N130" s="123"/>
      <c r="O130" s="122">
        <f t="shared" si="182"/>
        <v>1</v>
      </c>
      <c r="P130" s="327">
        <v>45719</v>
      </c>
      <c r="Q130" s="327">
        <v>45719</v>
      </c>
      <c r="R130" s="123"/>
      <c r="S130" s="122">
        <f t="shared" si="185"/>
        <v>0</v>
      </c>
      <c r="T130" s="327"/>
      <c r="U130" s="327"/>
      <c r="V130" s="123"/>
      <c r="W130" s="122">
        <f t="shared" si="183"/>
        <v>56</v>
      </c>
      <c r="X130" s="327">
        <f>Y129</f>
        <v>45641</v>
      </c>
      <c r="Y130" s="327">
        <f>X131</f>
        <v>45719</v>
      </c>
      <c r="Z130" s="125"/>
      <c r="AA130" s="126"/>
      <c r="AB130" s="125"/>
      <c r="AC130" s="127"/>
      <c r="AD130" s="126" t="s">
        <v>518</v>
      </c>
      <c r="AE130" s="126"/>
      <c r="AF130" s="128"/>
      <c r="AG130" s="128"/>
      <c r="AH130" s="129"/>
      <c r="AI130" s="391" t="str">
        <f t="shared" ref="AI130:BQ130" si="187">IFERROR(IF(AND($T130&gt;=(EOMONTH(AI$8,-1)+1),$U130&lt;AJ$8,$I130="M"),"u",""),"")</f>
        <v/>
      </c>
      <c r="AJ130" s="152" t="str">
        <f t="shared" si="187"/>
        <v/>
      </c>
      <c r="AK130" s="152" t="str">
        <f t="shared" si="187"/>
        <v/>
      </c>
      <c r="AL130" s="152" t="str">
        <f t="shared" si="187"/>
        <v/>
      </c>
      <c r="AM130" s="152" t="str">
        <f t="shared" si="187"/>
        <v/>
      </c>
      <c r="AN130" s="152" t="str">
        <f t="shared" si="187"/>
        <v/>
      </c>
      <c r="AO130" s="152" t="str">
        <f t="shared" si="187"/>
        <v/>
      </c>
      <c r="AP130" s="152" t="str">
        <f t="shared" si="187"/>
        <v/>
      </c>
      <c r="AQ130" s="152" t="str">
        <f t="shared" si="187"/>
        <v/>
      </c>
      <c r="AR130" s="152" t="str">
        <f t="shared" si="187"/>
        <v/>
      </c>
      <c r="AS130" s="152" t="str">
        <f t="shared" si="187"/>
        <v/>
      </c>
      <c r="AT130" s="152" t="str">
        <f t="shared" si="187"/>
        <v/>
      </c>
      <c r="AU130" s="152" t="str">
        <f t="shared" si="187"/>
        <v/>
      </c>
      <c r="AV130" s="152" t="str">
        <f t="shared" si="187"/>
        <v/>
      </c>
      <c r="AW130" s="152" t="str">
        <f t="shared" si="187"/>
        <v/>
      </c>
      <c r="AX130" s="152" t="str">
        <f t="shared" si="187"/>
        <v/>
      </c>
      <c r="AY130" s="152" t="str">
        <f t="shared" si="187"/>
        <v/>
      </c>
      <c r="AZ130" s="152" t="str">
        <f t="shared" si="187"/>
        <v/>
      </c>
      <c r="BA130" s="152" t="str">
        <f t="shared" si="187"/>
        <v/>
      </c>
      <c r="BB130" s="152" t="str">
        <f t="shared" si="187"/>
        <v/>
      </c>
      <c r="BC130" s="152" t="str">
        <f t="shared" si="187"/>
        <v/>
      </c>
      <c r="BD130" s="152" t="str">
        <f t="shared" si="187"/>
        <v/>
      </c>
      <c r="BE130" s="152" t="str">
        <f t="shared" si="187"/>
        <v/>
      </c>
      <c r="BF130" s="152" t="str">
        <f t="shared" si="187"/>
        <v/>
      </c>
      <c r="BG130" s="152" t="str">
        <f t="shared" si="187"/>
        <v/>
      </c>
      <c r="BH130" s="152" t="str">
        <f t="shared" si="187"/>
        <v/>
      </c>
      <c r="BI130" s="152" t="str">
        <f t="shared" si="187"/>
        <v/>
      </c>
      <c r="BJ130" s="152" t="str">
        <f t="shared" si="187"/>
        <v/>
      </c>
      <c r="BK130" s="152" t="str">
        <f t="shared" si="187"/>
        <v/>
      </c>
      <c r="BL130" s="152" t="str">
        <f t="shared" si="187"/>
        <v/>
      </c>
      <c r="BM130" s="152" t="str">
        <f t="shared" si="187"/>
        <v/>
      </c>
      <c r="BN130" s="152" t="str">
        <f t="shared" si="187"/>
        <v/>
      </c>
      <c r="BO130" s="152" t="str">
        <f t="shared" si="187"/>
        <v/>
      </c>
      <c r="BP130" s="152" t="str">
        <f t="shared" si="187"/>
        <v/>
      </c>
      <c r="BQ130" s="153" t="str">
        <f t="shared" si="187"/>
        <v/>
      </c>
      <c r="BR130" s="132" t="s">
        <v>0</v>
      </c>
    </row>
    <row r="131" spans="1:70" ht="19.5" customHeight="1" outlineLevel="1">
      <c r="A131" s="324"/>
      <c r="B131" s="115" t="s">
        <v>0</v>
      </c>
      <c r="C131" s="116"/>
      <c r="D131" s="117"/>
      <c r="E131" s="118"/>
      <c r="F131" s="118" t="s">
        <v>765</v>
      </c>
      <c r="G131" s="118"/>
      <c r="H131" s="118"/>
      <c r="I131" s="119"/>
      <c r="J131" s="120" t="s">
        <v>763</v>
      </c>
      <c r="K131" s="121" t="s">
        <v>764</v>
      </c>
      <c r="L131" s="325" t="s">
        <v>759</v>
      </c>
      <c r="M131" s="122"/>
      <c r="N131" s="123"/>
      <c r="O131" s="122">
        <f t="shared" si="182"/>
        <v>1</v>
      </c>
      <c r="P131" s="327">
        <v>45719</v>
      </c>
      <c r="Q131" s="327">
        <v>45719</v>
      </c>
      <c r="R131" s="123"/>
      <c r="S131" s="122">
        <f t="shared" si="185"/>
        <v>0</v>
      </c>
      <c r="T131" s="327"/>
      <c r="U131" s="327"/>
      <c r="V131" s="123"/>
      <c r="W131" s="122">
        <f t="shared" si="183"/>
        <v>1</v>
      </c>
      <c r="X131" s="327">
        <f>X132-60</f>
        <v>45719</v>
      </c>
      <c r="Y131" s="327">
        <f t="shared" ref="Y131:Y132" si="188">X131</f>
        <v>45719</v>
      </c>
      <c r="Z131" s="125"/>
      <c r="AA131" s="126"/>
      <c r="AB131" s="125"/>
      <c r="AC131" s="127"/>
      <c r="AD131" s="126" t="s">
        <v>518</v>
      </c>
      <c r="AE131" s="126"/>
      <c r="AF131" s="128"/>
      <c r="AG131" s="128"/>
      <c r="AH131" s="129"/>
      <c r="AI131" s="391" t="str">
        <f t="shared" ref="AI131:BQ131" si="189">IFERROR(IF(AND($T131&gt;=(EOMONTH(AI$8,-1)+1),$U131&lt;AJ$8,$I131="M"),"u",""),"")</f>
        <v/>
      </c>
      <c r="AJ131" s="152" t="str">
        <f t="shared" si="189"/>
        <v/>
      </c>
      <c r="AK131" s="152" t="str">
        <f t="shared" si="189"/>
        <v/>
      </c>
      <c r="AL131" s="152" t="str">
        <f t="shared" si="189"/>
        <v/>
      </c>
      <c r="AM131" s="152" t="str">
        <f t="shared" si="189"/>
        <v/>
      </c>
      <c r="AN131" s="152" t="str">
        <f t="shared" si="189"/>
        <v/>
      </c>
      <c r="AO131" s="152" t="str">
        <f t="shared" si="189"/>
        <v/>
      </c>
      <c r="AP131" s="152" t="str">
        <f t="shared" si="189"/>
        <v/>
      </c>
      <c r="AQ131" s="152" t="str">
        <f t="shared" si="189"/>
        <v/>
      </c>
      <c r="AR131" s="152" t="str">
        <f t="shared" si="189"/>
        <v/>
      </c>
      <c r="AS131" s="152" t="str">
        <f t="shared" si="189"/>
        <v/>
      </c>
      <c r="AT131" s="152" t="str">
        <f t="shared" si="189"/>
        <v/>
      </c>
      <c r="AU131" s="152" t="str">
        <f t="shared" si="189"/>
        <v/>
      </c>
      <c r="AV131" s="152" t="str">
        <f t="shared" si="189"/>
        <v/>
      </c>
      <c r="AW131" s="152" t="str">
        <f t="shared" si="189"/>
        <v/>
      </c>
      <c r="AX131" s="152" t="str">
        <f t="shared" si="189"/>
        <v/>
      </c>
      <c r="AY131" s="152" t="str">
        <f t="shared" si="189"/>
        <v/>
      </c>
      <c r="AZ131" s="152" t="str">
        <f t="shared" si="189"/>
        <v/>
      </c>
      <c r="BA131" s="152" t="str">
        <f t="shared" si="189"/>
        <v/>
      </c>
      <c r="BB131" s="152" t="str">
        <f t="shared" si="189"/>
        <v/>
      </c>
      <c r="BC131" s="152" t="str">
        <f t="shared" si="189"/>
        <v/>
      </c>
      <c r="BD131" s="152" t="str">
        <f t="shared" si="189"/>
        <v/>
      </c>
      <c r="BE131" s="152" t="str">
        <f t="shared" si="189"/>
        <v/>
      </c>
      <c r="BF131" s="152" t="str">
        <f t="shared" si="189"/>
        <v/>
      </c>
      <c r="BG131" s="152" t="str">
        <f t="shared" si="189"/>
        <v/>
      </c>
      <c r="BH131" s="152" t="str">
        <f t="shared" si="189"/>
        <v/>
      </c>
      <c r="BI131" s="152" t="str">
        <f t="shared" si="189"/>
        <v/>
      </c>
      <c r="BJ131" s="152" t="str">
        <f t="shared" si="189"/>
        <v/>
      </c>
      <c r="BK131" s="152" t="str">
        <f t="shared" si="189"/>
        <v/>
      </c>
      <c r="BL131" s="152" t="str">
        <f t="shared" si="189"/>
        <v/>
      </c>
      <c r="BM131" s="152" t="str">
        <f t="shared" si="189"/>
        <v/>
      </c>
      <c r="BN131" s="152" t="str">
        <f t="shared" si="189"/>
        <v/>
      </c>
      <c r="BO131" s="152" t="str">
        <f t="shared" si="189"/>
        <v/>
      </c>
      <c r="BP131" s="152" t="str">
        <f t="shared" si="189"/>
        <v/>
      </c>
      <c r="BQ131" s="153" t="str">
        <f t="shared" si="189"/>
        <v/>
      </c>
      <c r="BR131" s="132" t="s">
        <v>0</v>
      </c>
    </row>
    <row r="132" spans="1:70" ht="19.5" customHeight="1" outlineLevel="1">
      <c r="A132" s="324"/>
      <c r="B132" s="115" t="s">
        <v>0</v>
      </c>
      <c r="C132" s="116"/>
      <c r="D132" s="117"/>
      <c r="E132" s="118"/>
      <c r="F132" s="118" t="s">
        <v>766</v>
      </c>
      <c r="G132" s="118"/>
      <c r="H132" s="118"/>
      <c r="I132" s="119"/>
      <c r="J132" s="120" t="s">
        <v>767</v>
      </c>
      <c r="K132" s="142" t="s">
        <v>768</v>
      </c>
      <c r="L132" s="325" t="s">
        <v>759</v>
      </c>
      <c r="M132" s="122"/>
      <c r="N132" s="123"/>
      <c r="O132" s="122">
        <f t="shared" si="182"/>
        <v>1</v>
      </c>
      <c r="P132" s="327">
        <v>45779</v>
      </c>
      <c r="Q132" s="327">
        <v>45779</v>
      </c>
      <c r="R132" s="123"/>
      <c r="S132" s="122">
        <f t="shared" si="185"/>
        <v>0</v>
      </c>
      <c r="T132" s="327"/>
      <c r="U132" s="327"/>
      <c r="V132" s="123"/>
      <c r="W132" s="122">
        <f t="shared" si="183"/>
        <v>1</v>
      </c>
      <c r="X132" s="327">
        <f>X140-30</f>
        <v>45779</v>
      </c>
      <c r="Y132" s="327">
        <f t="shared" si="188"/>
        <v>45779</v>
      </c>
      <c r="Z132" s="125"/>
      <c r="AA132" s="126"/>
      <c r="AB132" s="125"/>
      <c r="AC132" s="127"/>
      <c r="AD132" s="126"/>
      <c r="AE132" s="126"/>
      <c r="AF132" s="128"/>
      <c r="AG132" s="128"/>
      <c r="AH132" s="129"/>
      <c r="AI132" s="391" t="str">
        <f t="shared" ref="AI132:BQ132" si="190">IFERROR(IF(AND($T132&gt;=(EOMONTH(AI$8,-1)+1),$U132&lt;AJ$8,$I132="M"),"u",""),"")</f>
        <v/>
      </c>
      <c r="AJ132" s="152" t="str">
        <f t="shared" si="190"/>
        <v/>
      </c>
      <c r="AK132" s="152" t="str">
        <f t="shared" si="190"/>
        <v/>
      </c>
      <c r="AL132" s="152" t="str">
        <f t="shared" si="190"/>
        <v/>
      </c>
      <c r="AM132" s="152" t="str">
        <f t="shared" si="190"/>
        <v/>
      </c>
      <c r="AN132" s="152" t="str">
        <f t="shared" si="190"/>
        <v/>
      </c>
      <c r="AO132" s="152" t="str">
        <f t="shared" si="190"/>
        <v/>
      </c>
      <c r="AP132" s="152" t="str">
        <f t="shared" si="190"/>
        <v/>
      </c>
      <c r="AQ132" s="152" t="str">
        <f t="shared" si="190"/>
        <v/>
      </c>
      <c r="AR132" s="152" t="str">
        <f t="shared" si="190"/>
        <v/>
      </c>
      <c r="AS132" s="152" t="str">
        <f t="shared" si="190"/>
        <v/>
      </c>
      <c r="AT132" s="152" t="str">
        <f t="shared" si="190"/>
        <v/>
      </c>
      <c r="AU132" s="152" t="str">
        <f t="shared" si="190"/>
        <v/>
      </c>
      <c r="AV132" s="152" t="str">
        <f t="shared" si="190"/>
        <v/>
      </c>
      <c r="AW132" s="152" t="str">
        <f t="shared" si="190"/>
        <v/>
      </c>
      <c r="AX132" s="152" t="str">
        <f t="shared" si="190"/>
        <v/>
      </c>
      <c r="AY132" s="152" t="str">
        <f t="shared" si="190"/>
        <v/>
      </c>
      <c r="AZ132" s="152" t="str">
        <f t="shared" si="190"/>
        <v/>
      </c>
      <c r="BA132" s="152" t="str">
        <f t="shared" si="190"/>
        <v/>
      </c>
      <c r="BB132" s="152" t="str">
        <f t="shared" si="190"/>
        <v/>
      </c>
      <c r="BC132" s="152" t="str">
        <f t="shared" si="190"/>
        <v/>
      </c>
      <c r="BD132" s="152" t="str">
        <f t="shared" si="190"/>
        <v/>
      </c>
      <c r="BE132" s="152" t="str">
        <f t="shared" si="190"/>
        <v/>
      </c>
      <c r="BF132" s="152" t="str">
        <f t="shared" si="190"/>
        <v/>
      </c>
      <c r="BG132" s="152" t="str">
        <f t="shared" si="190"/>
        <v/>
      </c>
      <c r="BH132" s="152" t="str">
        <f t="shared" si="190"/>
        <v/>
      </c>
      <c r="BI132" s="152" t="str">
        <f t="shared" si="190"/>
        <v/>
      </c>
      <c r="BJ132" s="152" t="str">
        <f t="shared" si="190"/>
        <v/>
      </c>
      <c r="BK132" s="152" t="str">
        <f t="shared" si="190"/>
        <v/>
      </c>
      <c r="BL132" s="152" t="str">
        <f t="shared" si="190"/>
        <v/>
      </c>
      <c r="BM132" s="152" t="str">
        <f t="shared" si="190"/>
        <v/>
      </c>
      <c r="BN132" s="152" t="str">
        <f t="shared" si="190"/>
        <v/>
      </c>
      <c r="BO132" s="152" t="str">
        <f t="shared" si="190"/>
        <v/>
      </c>
      <c r="BP132" s="152" t="str">
        <f t="shared" si="190"/>
        <v/>
      </c>
      <c r="BQ132" s="153" t="str">
        <f t="shared" si="190"/>
        <v/>
      </c>
      <c r="BR132" s="132" t="s">
        <v>0</v>
      </c>
    </row>
    <row r="133" spans="1:70" ht="19.5" customHeight="1">
      <c r="A133" s="320">
        <v>4</v>
      </c>
      <c r="B133" s="94"/>
      <c r="C133" s="95"/>
      <c r="D133" s="85"/>
      <c r="E133" s="12" t="s">
        <v>769</v>
      </c>
      <c r="F133" s="12"/>
      <c r="G133" s="12"/>
      <c r="H133" s="12"/>
      <c r="I133" s="38"/>
      <c r="J133" s="154"/>
      <c r="K133" s="96"/>
      <c r="L133" s="249" t="s">
        <v>759</v>
      </c>
      <c r="M133" s="32"/>
      <c r="N133" s="22"/>
      <c r="O133" s="32">
        <f t="shared" si="182"/>
        <v>1629</v>
      </c>
      <c r="P133" s="44">
        <f>MIN(P134:P144)</f>
        <v>45689</v>
      </c>
      <c r="Q133" s="44">
        <f>MAX(Q134:Q144)</f>
        <v>47969</v>
      </c>
      <c r="R133" s="22"/>
      <c r="S133" s="44">
        <f>MIN(S134:S144)</f>
        <v>0</v>
      </c>
      <c r="T133" s="44">
        <f t="shared" ref="T133:U133" si="191">MAX(T134:T144)</f>
        <v>47969</v>
      </c>
      <c r="U133" s="44">
        <f t="shared" si="191"/>
        <v>48884</v>
      </c>
      <c r="V133" s="22"/>
      <c r="W133" s="32">
        <f t="shared" si="183"/>
        <v>1609</v>
      </c>
      <c r="X133" s="44">
        <f>MIN(X134:X144)</f>
        <v>45719</v>
      </c>
      <c r="Y133" s="44">
        <f>MAX(Y134:Y144)</f>
        <v>47969</v>
      </c>
      <c r="Z133" s="24"/>
      <c r="AA133" s="97"/>
      <c r="AB133" s="24"/>
      <c r="AC133" s="98" t="e">
        <f>AVERAGE(AC134:AC138)</f>
        <v>#DIV/0!</v>
      </c>
      <c r="AD133" s="97"/>
      <c r="AE133" s="97"/>
      <c r="AF133" s="99"/>
      <c r="AG133" s="99"/>
      <c r="AH133" s="28"/>
      <c r="AI133" s="319" t="str">
        <f t="shared" ref="AI133:BQ133" si="192">IFERROR(IF(AND($T133&gt;=(EOMONTH(AI$8,-1)+1),$U133&lt;AJ$8,$I133="M"),"u",""),"")</f>
        <v/>
      </c>
      <c r="AJ133" s="92" t="str">
        <f t="shared" si="192"/>
        <v/>
      </c>
      <c r="AK133" s="92" t="str">
        <f t="shared" si="192"/>
        <v/>
      </c>
      <c r="AL133" s="92" t="str">
        <f t="shared" si="192"/>
        <v/>
      </c>
      <c r="AM133" s="92" t="str">
        <f t="shared" si="192"/>
        <v/>
      </c>
      <c r="AN133" s="92" t="str">
        <f t="shared" si="192"/>
        <v/>
      </c>
      <c r="AO133" s="92" t="str">
        <f t="shared" si="192"/>
        <v/>
      </c>
      <c r="AP133" s="92" t="str">
        <f t="shared" si="192"/>
        <v/>
      </c>
      <c r="AQ133" s="92" t="str">
        <f t="shared" si="192"/>
        <v/>
      </c>
      <c r="AR133" s="92" t="str">
        <f t="shared" si="192"/>
        <v/>
      </c>
      <c r="AS133" s="92" t="str">
        <f t="shared" si="192"/>
        <v/>
      </c>
      <c r="AT133" s="92" t="str">
        <f t="shared" si="192"/>
        <v/>
      </c>
      <c r="AU133" s="92" t="str">
        <f t="shared" si="192"/>
        <v/>
      </c>
      <c r="AV133" s="92" t="str">
        <f t="shared" si="192"/>
        <v/>
      </c>
      <c r="AW133" s="92" t="str">
        <f t="shared" si="192"/>
        <v/>
      </c>
      <c r="AX133" s="92" t="str">
        <f t="shared" si="192"/>
        <v/>
      </c>
      <c r="AY133" s="92" t="str">
        <f t="shared" si="192"/>
        <v/>
      </c>
      <c r="AZ133" s="92" t="str">
        <f t="shared" si="192"/>
        <v/>
      </c>
      <c r="BA133" s="92" t="str">
        <f t="shared" si="192"/>
        <v/>
      </c>
      <c r="BB133" s="92" t="str">
        <f t="shared" si="192"/>
        <v/>
      </c>
      <c r="BC133" s="92" t="str">
        <f t="shared" si="192"/>
        <v/>
      </c>
      <c r="BD133" s="92" t="str">
        <f t="shared" si="192"/>
        <v/>
      </c>
      <c r="BE133" s="92" t="str">
        <f t="shared" si="192"/>
        <v/>
      </c>
      <c r="BF133" s="92" t="str">
        <f t="shared" si="192"/>
        <v/>
      </c>
      <c r="BG133" s="92" t="str">
        <f t="shared" si="192"/>
        <v/>
      </c>
      <c r="BH133" s="92" t="str">
        <f t="shared" si="192"/>
        <v/>
      </c>
      <c r="BI133" s="92" t="str">
        <f t="shared" si="192"/>
        <v/>
      </c>
      <c r="BJ133" s="92" t="str">
        <f t="shared" si="192"/>
        <v/>
      </c>
      <c r="BK133" s="92" t="str">
        <f t="shared" si="192"/>
        <v/>
      </c>
      <c r="BL133" s="92" t="str">
        <f t="shared" si="192"/>
        <v/>
      </c>
      <c r="BM133" s="92" t="str">
        <f t="shared" si="192"/>
        <v/>
      </c>
      <c r="BN133" s="92" t="str">
        <f t="shared" si="192"/>
        <v/>
      </c>
      <c r="BO133" s="92" t="str">
        <f t="shared" si="192"/>
        <v/>
      </c>
      <c r="BP133" s="92" t="str">
        <f t="shared" si="192"/>
        <v/>
      </c>
      <c r="BQ133" s="93" t="str">
        <f t="shared" si="192"/>
        <v/>
      </c>
      <c r="BR133" s="11" t="s">
        <v>0</v>
      </c>
    </row>
    <row r="134" spans="1:70" ht="19.5" customHeight="1" outlineLevel="1">
      <c r="A134" s="307"/>
      <c r="B134" s="83">
        <v>4.0999999999999996</v>
      </c>
      <c r="C134" s="84"/>
      <c r="D134" s="85"/>
      <c r="E134" s="35"/>
      <c r="F134" s="35" t="s">
        <v>770</v>
      </c>
      <c r="G134" s="35"/>
      <c r="H134" s="35"/>
      <c r="I134" s="38"/>
      <c r="J134" s="86"/>
      <c r="K134" s="140"/>
      <c r="L134" s="249" t="s">
        <v>759</v>
      </c>
      <c r="M134" s="32"/>
      <c r="N134" s="22"/>
      <c r="O134" s="32">
        <f t="shared" si="182"/>
        <v>21</v>
      </c>
      <c r="P134" s="53">
        <v>45689</v>
      </c>
      <c r="Q134" s="53">
        <v>45719</v>
      </c>
      <c r="R134" s="22"/>
      <c r="S134" s="32">
        <f>NETWORKDAYS(T134,U134)</f>
        <v>1</v>
      </c>
      <c r="T134" s="53">
        <v>45719</v>
      </c>
      <c r="U134" s="53">
        <f>U138</f>
        <v>45719</v>
      </c>
      <c r="V134" s="22"/>
      <c r="W134" s="32">
        <f t="shared" si="183"/>
        <v>1</v>
      </c>
      <c r="X134" s="53">
        <f t="shared" ref="X134:Y134" si="193">X138</f>
        <v>45719</v>
      </c>
      <c r="Y134" s="53">
        <f t="shared" si="193"/>
        <v>45719</v>
      </c>
      <c r="Z134" s="24"/>
      <c r="AA134" s="40"/>
      <c r="AB134" s="24"/>
      <c r="AC134" s="46"/>
      <c r="AD134" s="40" t="s">
        <v>518</v>
      </c>
      <c r="AE134" s="40"/>
      <c r="AF134" s="41"/>
      <c r="AG134" s="41"/>
      <c r="AH134" s="28"/>
      <c r="AI134" s="291" t="str">
        <f t="shared" ref="AI134:BQ134" si="194">IFERROR(IF(AND($T134&gt;=(EOMONTH(AI$8,-1)+1),$U134&lt;AJ$8,$I134="M"),"u",""),"")</f>
        <v/>
      </c>
      <c r="AJ134" s="81" t="str">
        <f t="shared" si="194"/>
        <v/>
      </c>
      <c r="AK134" s="81" t="str">
        <f t="shared" si="194"/>
        <v/>
      </c>
      <c r="AL134" s="81" t="str">
        <f t="shared" si="194"/>
        <v/>
      </c>
      <c r="AM134" s="81" t="str">
        <f t="shared" si="194"/>
        <v/>
      </c>
      <c r="AN134" s="81" t="str">
        <f t="shared" si="194"/>
        <v/>
      </c>
      <c r="AO134" s="81" t="str">
        <f t="shared" si="194"/>
        <v/>
      </c>
      <c r="AP134" s="81" t="str">
        <f t="shared" si="194"/>
        <v/>
      </c>
      <c r="AQ134" s="81" t="str">
        <f t="shared" si="194"/>
        <v/>
      </c>
      <c r="AR134" s="81" t="str">
        <f t="shared" si="194"/>
        <v/>
      </c>
      <c r="AS134" s="81" t="str">
        <f t="shared" si="194"/>
        <v/>
      </c>
      <c r="AT134" s="81" t="str">
        <f t="shared" si="194"/>
        <v/>
      </c>
      <c r="AU134" s="81" t="str">
        <f t="shared" si="194"/>
        <v/>
      </c>
      <c r="AV134" s="81" t="str">
        <f t="shared" si="194"/>
        <v/>
      </c>
      <c r="AW134" s="81" t="str">
        <f t="shared" si="194"/>
        <v/>
      </c>
      <c r="AX134" s="81" t="str">
        <f t="shared" si="194"/>
        <v/>
      </c>
      <c r="AY134" s="81" t="str">
        <f t="shared" si="194"/>
        <v/>
      </c>
      <c r="AZ134" s="81" t="str">
        <f t="shared" si="194"/>
        <v/>
      </c>
      <c r="BA134" s="81" t="str">
        <f t="shared" si="194"/>
        <v/>
      </c>
      <c r="BB134" s="81" t="str">
        <f t="shared" si="194"/>
        <v/>
      </c>
      <c r="BC134" s="81" t="str">
        <f t="shared" si="194"/>
        <v/>
      </c>
      <c r="BD134" s="81" t="str">
        <f t="shared" si="194"/>
        <v/>
      </c>
      <c r="BE134" s="81" t="str">
        <f t="shared" si="194"/>
        <v/>
      </c>
      <c r="BF134" s="81" t="str">
        <f t="shared" si="194"/>
        <v/>
      </c>
      <c r="BG134" s="81" t="str">
        <f t="shared" si="194"/>
        <v/>
      </c>
      <c r="BH134" s="81" t="str">
        <f t="shared" si="194"/>
        <v/>
      </c>
      <c r="BI134" s="81" t="str">
        <f t="shared" si="194"/>
        <v/>
      </c>
      <c r="BJ134" s="81" t="str">
        <f t="shared" si="194"/>
        <v/>
      </c>
      <c r="BK134" s="81" t="str">
        <f t="shared" si="194"/>
        <v/>
      </c>
      <c r="BL134" s="81" t="str">
        <f t="shared" si="194"/>
        <v/>
      </c>
      <c r="BM134" s="81" t="str">
        <f t="shared" si="194"/>
        <v/>
      </c>
      <c r="BN134" s="81" t="str">
        <f t="shared" si="194"/>
        <v/>
      </c>
      <c r="BO134" s="81" t="str">
        <f t="shared" si="194"/>
        <v/>
      </c>
      <c r="BP134" s="81" t="str">
        <f t="shared" si="194"/>
        <v/>
      </c>
      <c r="BQ134" s="82" t="str">
        <f t="shared" si="194"/>
        <v/>
      </c>
      <c r="BR134" s="11" t="s">
        <v>0</v>
      </c>
    </row>
    <row r="135" spans="1:70" ht="19.5" customHeight="1" outlineLevel="1">
      <c r="A135" s="307"/>
      <c r="B135" s="83">
        <v>4.0999999999999996</v>
      </c>
      <c r="C135" s="84"/>
      <c r="D135" s="85"/>
      <c r="E135" s="35"/>
      <c r="F135" s="35" t="s">
        <v>771</v>
      </c>
      <c r="G135" s="35"/>
      <c r="H135" s="35"/>
      <c r="I135" s="38"/>
      <c r="J135" s="86"/>
      <c r="K135" s="140"/>
      <c r="L135" s="249"/>
      <c r="M135" s="32"/>
      <c r="N135" s="22"/>
      <c r="O135" s="32"/>
      <c r="P135" s="53"/>
      <c r="Q135" s="53"/>
      <c r="R135" s="22"/>
      <c r="S135" s="32"/>
      <c r="T135" s="53"/>
      <c r="U135" s="53"/>
      <c r="V135" s="22"/>
      <c r="W135" s="32"/>
      <c r="X135" s="53"/>
      <c r="Y135" s="53"/>
      <c r="Z135" s="24"/>
      <c r="AA135" s="40"/>
      <c r="AB135" s="24"/>
      <c r="AC135" s="46"/>
      <c r="AD135" s="40"/>
      <c r="AE135" s="40"/>
      <c r="AF135" s="41"/>
      <c r="AG135" s="41"/>
      <c r="AH135" s="28"/>
      <c r="AI135" s="291" t="str">
        <f t="shared" ref="AI135:BQ135" si="195">IFERROR(IF(AND($T135&gt;=(EOMONTH(AI$8,-1)+1),$U135&lt;AJ$8,$I135="M"),"u",""),"")</f>
        <v/>
      </c>
      <c r="AJ135" s="81" t="str">
        <f t="shared" si="195"/>
        <v/>
      </c>
      <c r="AK135" s="81" t="str">
        <f t="shared" si="195"/>
        <v/>
      </c>
      <c r="AL135" s="81" t="str">
        <f t="shared" si="195"/>
        <v/>
      </c>
      <c r="AM135" s="81" t="str">
        <f t="shared" si="195"/>
        <v/>
      </c>
      <c r="AN135" s="81" t="str">
        <f t="shared" si="195"/>
        <v/>
      </c>
      <c r="AO135" s="81" t="str">
        <f t="shared" si="195"/>
        <v/>
      </c>
      <c r="AP135" s="81" t="str">
        <f t="shared" si="195"/>
        <v/>
      </c>
      <c r="AQ135" s="81" t="str">
        <f t="shared" si="195"/>
        <v/>
      </c>
      <c r="AR135" s="81" t="str">
        <f t="shared" si="195"/>
        <v/>
      </c>
      <c r="AS135" s="81" t="str">
        <f t="shared" si="195"/>
        <v/>
      </c>
      <c r="AT135" s="81" t="str">
        <f t="shared" si="195"/>
        <v/>
      </c>
      <c r="AU135" s="81" t="str">
        <f t="shared" si="195"/>
        <v/>
      </c>
      <c r="AV135" s="81" t="str">
        <f t="shared" si="195"/>
        <v/>
      </c>
      <c r="AW135" s="81" t="str">
        <f t="shared" si="195"/>
        <v/>
      </c>
      <c r="AX135" s="81" t="str">
        <f t="shared" si="195"/>
        <v/>
      </c>
      <c r="AY135" s="81" t="str">
        <f t="shared" si="195"/>
        <v/>
      </c>
      <c r="AZ135" s="81" t="str">
        <f t="shared" si="195"/>
        <v/>
      </c>
      <c r="BA135" s="81" t="str">
        <f t="shared" si="195"/>
        <v/>
      </c>
      <c r="BB135" s="81" t="str">
        <f t="shared" si="195"/>
        <v/>
      </c>
      <c r="BC135" s="81" t="str">
        <f t="shared" si="195"/>
        <v/>
      </c>
      <c r="BD135" s="81" t="str">
        <f t="shared" si="195"/>
        <v/>
      </c>
      <c r="BE135" s="81" t="str">
        <f t="shared" si="195"/>
        <v/>
      </c>
      <c r="BF135" s="81" t="str">
        <f t="shared" si="195"/>
        <v/>
      </c>
      <c r="BG135" s="81" t="str">
        <f t="shared" si="195"/>
        <v/>
      </c>
      <c r="BH135" s="81" t="str">
        <f t="shared" si="195"/>
        <v/>
      </c>
      <c r="BI135" s="81" t="str">
        <f t="shared" si="195"/>
        <v/>
      </c>
      <c r="BJ135" s="81" t="str">
        <f t="shared" si="195"/>
        <v/>
      </c>
      <c r="BK135" s="81" t="str">
        <f t="shared" si="195"/>
        <v/>
      </c>
      <c r="BL135" s="81" t="str">
        <f t="shared" si="195"/>
        <v/>
      </c>
      <c r="BM135" s="81" t="str">
        <f t="shared" si="195"/>
        <v/>
      </c>
      <c r="BN135" s="81" t="str">
        <f t="shared" si="195"/>
        <v/>
      </c>
      <c r="BO135" s="81" t="str">
        <f t="shared" si="195"/>
        <v/>
      </c>
      <c r="BP135" s="81" t="str">
        <f t="shared" si="195"/>
        <v/>
      </c>
      <c r="BQ135" s="82" t="str">
        <f t="shared" si="195"/>
        <v/>
      </c>
      <c r="BR135" s="11"/>
    </row>
    <row r="136" spans="1:70" ht="19.5" customHeight="1" outlineLevel="1">
      <c r="A136" s="307"/>
      <c r="B136" s="83">
        <v>4.0999999999999996</v>
      </c>
      <c r="C136" s="84"/>
      <c r="D136" s="85"/>
      <c r="E136" s="35"/>
      <c r="F136" s="35" t="s">
        <v>772</v>
      </c>
      <c r="G136" s="35"/>
      <c r="H136" s="35"/>
      <c r="I136" s="38"/>
      <c r="J136" s="86"/>
      <c r="K136" s="140"/>
      <c r="L136" s="249"/>
      <c r="M136" s="32"/>
      <c r="N136" s="22"/>
      <c r="O136" s="32"/>
      <c r="P136" s="53"/>
      <c r="Q136" s="53"/>
      <c r="R136" s="22"/>
      <c r="S136" s="32"/>
      <c r="T136" s="53"/>
      <c r="U136" s="53"/>
      <c r="V136" s="22"/>
      <c r="W136" s="32"/>
      <c r="X136" s="53"/>
      <c r="Y136" s="53"/>
      <c r="Z136" s="24"/>
      <c r="AA136" s="40"/>
      <c r="AB136" s="24"/>
      <c r="AC136" s="46"/>
      <c r="AD136" s="40"/>
      <c r="AE136" s="40"/>
      <c r="AF136" s="41"/>
      <c r="AG136" s="41"/>
      <c r="AH136" s="28"/>
      <c r="AI136" s="291" t="str">
        <f t="shared" ref="AI136:BQ136" si="196">IFERROR(IF(AND($T136&gt;=(EOMONTH(AI$8,-1)+1),$U136&lt;AJ$8,$I136="M"),"u",""),"")</f>
        <v/>
      </c>
      <c r="AJ136" s="81" t="str">
        <f t="shared" si="196"/>
        <v/>
      </c>
      <c r="AK136" s="81" t="str">
        <f t="shared" si="196"/>
        <v/>
      </c>
      <c r="AL136" s="81" t="str">
        <f t="shared" si="196"/>
        <v/>
      </c>
      <c r="AM136" s="81" t="str">
        <f t="shared" si="196"/>
        <v/>
      </c>
      <c r="AN136" s="81" t="str">
        <f t="shared" si="196"/>
        <v/>
      </c>
      <c r="AO136" s="81" t="str">
        <f t="shared" si="196"/>
        <v/>
      </c>
      <c r="AP136" s="81" t="str">
        <f t="shared" si="196"/>
        <v/>
      </c>
      <c r="AQ136" s="81" t="str">
        <f t="shared" si="196"/>
        <v/>
      </c>
      <c r="AR136" s="81" t="str">
        <f t="shared" si="196"/>
        <v/>
      </c>
      <c r="AS136" s="81" t="str">
        <f t="shared" si="196"/>
        <v/>
      </c>
      <c r="AT136" s="81" t="str">
        <f t="shared" si="196"/>
        <v/>
      </c>
      <c r="AU136" s="81" t="str">
        <f t="shared" si="196"/>
        <v/>
      </c>
      <c r="AV136" s="81" t="str">
        <f t="shared" si="196"/>
        <v/>
      </c>
      <c r="AW136" s="81" t="str">
        <f t="shared" si="196"/>
        <v/>
      </c>
      <c r="AX136" s="81" t="str">
        <f t="shared" si="196"/>
        <v/>
      </c>
      <c r="AY136" s="81" t="str">
        <f t="shared" si="196"/>
        <v/>
      </c>
      <c r="AZ136" s="81" t="str">
        <f t="shared" si="196"/>
        <v/>
      </c>
      <c r="BA136" s="81" t="str">
        <f t="shared" si="196"/>
        <v/>
      </c>
      <c r="BB136" s="81" t="str">
        <f t="shared" si="196"/>
        <v/>
      </c>
      <c r="BC136" s="81" t="str">
        <f t="shared" si="196"/>
        <v/>
      </c>
      <c r="BD136" s="81" t="str">
        <f t="shared" si="196"/>
        <v/>
      </c>
      <c r="BE136" s="81" t="str">
        <f t="shared" si="196"/>
        <v/>
      </c>
      <c r="BF136" s="81" t="str">
        <f t="shared" si="196"/>
        <v/>
      </c>
      <c r="BG136" s="81" t="str">
        <f t="shared" si="196"/>
        <v/>
      </c>
      <c r="BH136" s="81" t="str">
        <f t="shared" si="196"/>
        <v/>
      </c>
      <c r="BI136" s="81" t="str">
        <f t="shared" si="196"/>
        <v/>
      </c>
      <c r="BJ136" s="81" t="str">
        <f t="shared" si="196"/>
        <v/>
      </c>
      <c r="BK136" s="81" t="str">
        <f t="shared" si="196"/>
        <v/>
      </c>
      <c r="BL136" s="81" t="str">
        <f t="shared" si="196"/>
        <v/>
      </c>
      <c r="BM136" s="81" t="str">
        <f t="shared" si="196"/>
        <v/>
      </c>
      <c r="BN136" s="81" t="str">
        <f t="shared" si="196"/>
        <v/>
      </c>
      <c r="BO136" s="81" t="str">
        <f t="shared" si="196"/>
        <v/>
      </c>
      <c r="BP136" s="81" t="str">
        <f t="shared" si="196"/>
        <v/>
      </c>
      <c r="BQ136" s="82" t="str">
        <f t="shared" si="196"/>
        <v/>
      </c>
      <c r="BR136" s="11"/>
    </row>
    <row r="137" spans="1:70" ht="19.5" customHeight="1" outlineLevel="1">
      <c r="A137" s="307"/>
      <c r="B137" s="83">
        <v>4.0999999999999996</v>
      </c>
      <c r="C137" s="84"/>
      <c r="D137" s="85"/>
      <c r="E137" s="35"/>
      <c r="F137" s="35" t="s">
        <v>773</v>
      </c>
      <c r="G137" s="35"/>
      <c r="H137" s="35"/>
      <c r="I137" s="38"/>
      <c r="J137" s="86"/>
      <c r="K137" s="140"/>
      <c r="L137" s="249"/>
      <c r="M137" s="32"/>
      <c r="N137" s="22"/>
      <c r="O137" s="32"/>
      <c r="P137" s="53"/>
      <c r="Q137" s="53"/>
      <c r="R137" s="22"/>
      <c r="S137" s="32"/>
      <c r="T137" s="53"/>
      <c r="U137" s="53"/>
      <c r="V137" s="22"/>
      <c r="W137" s="32"/>
      <c r="X137" s="53"/>
      <c r="Y137" s="53"/>
      <c r="Z137" s="24"/>
      <c r="AA137" s="40"/>
      <c r="AB137" s="24"/>
      <c r="AC137" s="46"/>
      <c r="AD137" s="40"/>
      <c r="AE137" s="40"/>
      <c r="AF137" s="41"/>
      <c r="AG137" s="41"/>
      <c r="AH137" s="28"/>
      <c r="AI137" s="291" t="str">
        <f t="shared" ref="AI137:BQ137" si="197">IFERROR(IF(AND($T137&gt;=(EOMONTH(AI$8,-1)+1),$U137&lt;AJ$8,$I137="M"),"u",""),"")</f>
        <v/>
      </c>
      <c r="AJ137" s="81" t="str">
        <f t="shared" si="197"/>
        <v/>
      </c>
      <c r="AK137" s="81" t="str">
        <f t="shared" si="197"/>
        <v/>
      </c>
      <c r="AL137" s="81" t="str">
        <f t="shared" si="197"/>
        <v/>
      </c>
      <c r="AM137" s="81" t="str">
        <f t="shared" si="197"/>
        <v/>
      </c>
      <c r="AN137" s="81" t="str">
        <f t="shared" si="197"/>
        <v/>
      </c>
      <c r="AO137" s="81" t="str">
        <f t="shared" si="197"/>
        <v/>
      </c>
      <c r="AP137" s="81" t="str">
        <f t="shared" si="197"/>
        <v/>
      </c>
      <c r="AQ137" s="81" t="str">
        <f t="shared" si="197"/>
        <v/>
      </c>
      <c r="AR137" s="81" t="str">
        <f t="shared" si="197"/>
        <v/>
      </c>
      <c r="AS137" s="81" t="str">
        <f t="shared" si="197"/>
        <v/>
      </c>
      <c r="AT137" s="81" t="str">
        <f t="shared" si="197"/>
        <v/>
      </c>
      <c r="AU137" s="81" t="str">
        <f t="shared" si="197"/>
        <v/>
      </c>
      <c r="AV137" s="81" t="str">
        <f t="shared" si="197"/>
        <v/>
      </c>
      <c r="AW137" s="81" t="str">
        <f t="shared" si="197"/>
        <v/>
      </c>
      <c r="AX137" s="81" t="str">
        <f t="shared" si="197"/>
        <v/>
      </c>
      <c r="AY137" s="81" t="str">
        <f t="shared" si="197"/>
        <v/>
      </c>
      <c r="AZ137" s="81" t="str">
        <f t="shared" si="197"/>
        <v/>
      </c>
      <c r="BA137" s="81" t="str">
        <f t="shared" si="197"/>
        <v/>
      </c>
      <c r="BB137" s="81" t="str">
        <f t="shared" si="197"/>
        <v/>
      </c>
      <c r="BC137" s="81" t="str">
        <f t="shared" si="197"/>
        <v/>
      </c>
      <c r="BD137" s="81" t="str">
        <f t="shared" si="197"/>
        <v/>
      </c>
      <c r="BE137" s="81" t="str">
        <f t="shared" si="197"/>
        <v/>
      </c>
      <c r="BF137" s="81" t="str">
        <f t="shared" si="197"/>
        <v/>
      </c>
      <c r="BG137" s="81" t="str">
        <f t="shared" si="197"/>
        <v/>
      </c>
      <c r="BH137" s="81" t="str">
        <f t="shared" si="197"/>
        <v/>
      </c>
      <c r="BI137" s="81" t="str">
        <f t="shared" si="197"/>
        <v/>
      </c>
      <c r="BJ137" s="81" t="str">
        <f t="shared" si="197"/>
        <v/>
      </c>
      <c r="BK137" s="81" t="str">
        <f t="shared" si="197"/>
        <v/>
      </c>
      <c r="BL137" s="81" t="str">
        <f t="shared" si="197"/>
        <v/>
      </c>
      <c r="BM137" s="81" t="str">
        <f t="shared" si="197"/>
        <v/>
      </c>
      <c r="BN137" s="81" t="str">
        <f t="shared" si="197"/>
        <v/>
      </c>
      <c r="BO137" s="81" t="str">
        <f t="shared" si="197"/>
        <v/>
      </c>
      <c r="BP137" s="81" t="str">
        <f t="shared" si="197"/>
        <v/>
      </c>
      <c r="BQ137" s="82" t="str">
        <f t="shared" si="197"/>
        <v/>
      </c>
      <c r="BR137" s="11"/>
    </row>
    <row r="138" spans="1:70" ht="19.5" customHeight="1" outlineLevel="1">
      <c r="A138" s="324"/>
      <c r="B138" s="115">
        <v>17.2</v>
      </c>
      <c r="C138" s="116"/>
      <c r="D138" s="117"/>
      <c r="E138" s="118"/>
      <c r="F138" s="118" t="s">
        <v>774</v>
      </c>
      <c r="G138" s="118"/>
      <c r="H138" s="118"/>
      <c r="I138" s="119"/>
      <c r="J138" s="120" t="s">
        <v>763</v>
      </c>
      <c r="K138" s="121" t="s">
        <v>764</v>
      </c>
      <c r="L138" s="325" t="s">
        <v>759</v>
      </c>
      <c r="M138" s="122"/>
      <c r="N138" s="123"/>
      <c r="O138" s="122">
        <f t="shared" ref="O138:O144" si="198">NETWORKDAYS(P138,Q138)</f>
        <v>1</v>
      </c>
      <c r="P138" s="327">
        <v>45719</v>
      </c>
      <c r="Q138" s="327">
        <v>45719</v>
      </c>
      <c r="R138" s="123"/>
      <c r="S138" s="122">
        <f t="shared" ref="S138:S144" si="199">NETWORKDAYS(T138,U138)</f>
        <v>1</v>
      </c>
      <c r="T138" s="327">
        <v>45719</v>
      </c>
      <c r="U138" s="327">
        <f>U140-90</f>
        <v>45719</v>
      </c>
      <c r="V138" s="123"/>
      <c r="W138" s="122">
        <f t="shared" ref="W138:W144" si="200">NETWORKDAYS(X138,Y138)</f>
        <v>1</v>
      </c>
      <c r="X138" s="327">
        <f t="shared" ref="X138:Y138" si="201">X140-90</f>
        <v>45719</v>
      </c>
      <c r="Y138" s="327">
        <f t="shared" si="201"/>
        <v>45719</v>
      </c>
      <c r="Z138" s="125"/>
      <c r="AA138" s="126"/>
      <c r="AB138" s="125"/>
      <c r="AC138" s="127"/>
      <c r="AD138" s="126" t="s">
        <v>518</v>
      </c>
      <c r="AE138" s="126"/>
      <c r="AF138" s="128"/>
      <c r="AG138" s="128"/>
      <c r="AH138" s="129"/>
      <c r="AI138" s="391" t="str">
        <f t="shared" ref="AI138:BQ138" si="202">IFERROR(IF(AND($T138&gt;=(EOMONTH(AI$8,-1)+1),$U138&lt;AJ$8,$I138="M"),"u",""),"")</f>
        <v/>
      </c>
      <c r="AJ138" s="152" t="str">
        <f t="shared" si="202"/>
        <v/>
      </c>
      <c r="AK138" s="152" t="str">
        <f t="shared" si="202"/>
        <v/>
      </c>
      <c r="AL138" s="152" t="str">
        <f t="shared" si="202"/>
        <v/>
      </c>
      <c r="AM138" s="152" t="str">
        <f t="shared" si="202"/>
        <v/>
      </c>
      <c r="AN138" s="152" t="str">
        <f t="shared" si="202"/>
        <v/>
      </c>
      <c r="AO138" s="152" t="str">
        <f t="shared" si="202"/>
        <v/>
      </c>
      <c r="AP138" s="152" t="str">
        <f t="shared" si="202"/>
        <v/>
      </c>
      <c r="AQ138" s="152" t="str">
        <f t="shared" si="202"/>
        <v/>
      </c>
      <c r="AR138" s="152" t="str">
        <f t="shared" si="202"/>
        <v/>
      </c>
      <c r="AS138" s="152" t="str">
        <f t="shared" si="202"/>
        <v/>
      </c>
      <c r="AT138" s="152" t="str">
        <f t="shared" si="202"/>
        <v/>
      </c>
      <c r="AU138" s="152" t="str">
        <f t="shared" si="202"/>
        <v/>
      </c>
      <c r="AV138" s="152" t="str">
        <f t="shared" si="202"/>
        <v/>
      </c>
      <c r="AW138" s="152" t="str">
        <f t="shared" si="202"/>
        <v/>
      </c>
      <c r="AX138" s="152" t="str">
        <f t="shared" si="202"/>
        <v/>
      </c>
      <c r="AY138" s="152" t="str">
        <f t="shared" si="202"/>
        <v/>
      </c>
      <c r="AZ138" s="152" t="str">
        <f t="shared" si="202"/>
        <v/>
      </c>
      <c r="BA138" s="152" t="str">
        <f t="shared" si="202"/>
        <v/>
      </c>
      <c r="BB138" s="152" t="str">
        <f t="shared" si="202"/>
        <v/>
      </c>
      <c r="BC138" s="152" t="str">
        <f t="shared" si="202"/>
        <v/>
      </c>
      <c r="BD138" s="152" t="str">
        <f t="shared" si="202"/>
        <v/>
      </c>
      <c r="BE138" s="152" t="str">
        <f t="shared" si="202"/>
        <v/>
      </c>
      <c r="BF138" s="152" t="str">
        <f t="shared" si="202"/>
        <v/>
      </c>
      <c r="BG138" s="152" t="str">
        <f t="shared" si="202"/>
        <v/>
      </c>
      <c r="BH138" s="152" t="str">
        <f t="shared" si="202"/>
        <v/>
      </c>
      <c r="BI138" s="152" t="str">
        <f t="shared" si="202"/>
        <v/>
      </c>
      <c r="BJ138" s="152" t="str">
        <f t="shared" si="202"/>
        <v/>
      </c>
      <c r="BK138" s="152" t="str">
        <f t="shared" si="202"/>
        <v/>
      </c>
      <c r="BL138" s="152" t="str">
        <f t="shared" si="202"/>
        <v/>
      </c>
      <c r="BM138" s="152" t="str">
        <f t="shared" si="202"/>
        <v/>
      </c>
      <c r="BN138" s="152" t="str">
        <f t="shared" si="202"/>
        <v/>
      </c>
      <c r="BO138" s="152" t="str">
        <f t="shared" si="202"/>
        <v/>
      </c>
      <c r="BP138" s="152" t="str">
        <f t="shared" si="202"/>
        <v/>
      </c>
      <c r="BQ138" s="153" t="str">
        <f t="shared" si="202"/>
        <v/>
      </c>
      <c r="BR138" s="132" t="s">
        <v>0</v>
      </c>
    </row>
    <row r="139" spans="1:70" ht="19.5" customHeight="1" outlineLevel="1">
      <c r="A139" s="324"/>
      <c r="B139" s="115">
        <v>17.399999999999999</v>
      </c>
      <c r="C139" s="116"/>
      <c r="D139" s="117"/>
      <c r="E139" s="118"/>
      <c r="F139" s="118" t="s">
        <v>775</v>
      </c>
      <c r="G139" s="118"/>
      <c r="H139" s="118"/>
      <c r="I139" s="119"/>
      <c r="J139" s="120" t="s">
        <v>767</v>
      </c>
      <c r="K139" s="142" t="s">
        <v>768</v>
      </c>
      <c r="L139" s="325" t="s">
        <v>759</v>
      </c>
      <c r="M139" s="122"/>
      <c r="N139" s="123"/>
      <c r="O139" s="122">
        <f t="shared" si="198"/>
        <v>1</v>
      </c>
      <c r="P139" s="327">
        <v>45779</v>
      </c>
      <c r="Q139" s="327">
        <v>45779</v>
      </c>
      <c r="R139" s="123"/>
      <c r="S139" s="122">
        <f t="shared" si="199"/>
        <v>1</v>
      </c>
      <c r="T139" s="327">
        <v>45779</v>
      </c>
      <c r="U139" s="327">
        <f>U140-30</f>
        <v>45779</v>
      </c>
      <c r="V139" s="123"/>
      <c r="W139" s="122">
        <f t="shared" si="200"/>
        <v>1</v>
      </c>
      <c r="X139" s="327">
        <f t="shared" ref="X139:Y139" si="203">X140-30</f>
        <v>45779</v>
      </c>
      <c r="Y139" s="327">
        <f t="shared" si="203"/>
        <v>45779</v>
      </c>
      <c r="Z139" s="125"/>
      <c r="AA139" s="126"/>
      <c r="AB139" s="125"/>
      <c r="AC139" s="127"/>
      <c r="AD139" s="126"/>
      <c r="AE139" s="126"/>
      <c r="AF139" s="128"/>
      <c r="AG139" s="128"/>
      <c r="AH139" s="129"/>
      <c r="AI139" s="391" t="str">
        <f t="shared" ref="AI139:BQ139" si="204">IFERROR(IF(AND($T139&gt;=(EOMONTH(AI$8,-1)+1),$U139&lt;AJ$8,$I139="M"),"u",""),"")</f>
        <v/>
      </c>
      <c r="AJ139" s="152" t="str">
        <f t="shared" si="204"/>
        <v/>
      </c>
      <c r="AK139" s="152" t="str">
        <f t="shared" si="204"/>
        <v/>
      </c>
      <c r="AL139" s="152" t="str">
        <f t="shared" si="204"/>
        <v/>
      </c>
      <c r="AM139" s="152" t="str">
        <f t="shared" si="204"/>
        <v/>
      </c>
      <c r="AN139" s="152" t="str">
        <f t="shared" si="204"/>
        <v/>
      </c>
      <c r="AO139" s="152" t="str">
        <f t="shared" si="204"/>
        <v/>
      </c>
      <c r="AP139" s="152" t="str">
        <f t="shared" si="204"/>
        <v/>
      </c>
      <c r="AQ139" s="152" t="str">
        <f t="shared" si="204"/>
        <v/>
      </c>
      <c r="AR139" s="152" t="str">
        <f t="shared" si="204"/>
        <v/>
      </c>
      <c r="AS139" s="152" t="str">
        <f t="shared" si="204"/>
        <v/>
      </c>
      <c r="AT139" s="152" t="str">
        <f t="shared" si="204"/>
        <v/>
      </c>
      <c r="AU139" s="152" t="str">
        <f t="shared" si="204"/>
        <v/>
      </c>
      <c r="AV139" s="152" t="str">
        <f t="shared" si="204"/>
        <v/>
      </c>
      <c r="AW139" s="152" t="str">
        <f t="shared" si="204"/>
        <v/>
      </c>
      <c r="AX139" s="152" t="str">
        <f t="shared" si="204"/>
        <v/>
      </c>
      <c r="AY139" s="152" t="str">
        <f t="shared" si="204"/>
        <v/>
      </c>
      <c r="AZ139" s="152" t="str">
        <f t="shared" si="204"/>
        <v/>
      </c>
      <c r="BA139" s="152" t="str">
        <f t="shared" si="204"/>
        <v/>
      </c>
      <c r="BB139" s="152" t="str">
        <f t="shared" si="204"/>
        <v/>
      </c>
      <c r="BC139" s="152" t="str">
        <f t="shared" si="204"/>
        <v/>
      </c>
      <c r="BD139" s="152" t="str">
        <f t="shared" si="204"/>
        <v/>
      </c>
      <c r="BE139" s="152" t="str">
        <f t="shared" si="204"/>
        <v/>
      </c>
      <c r="BF139" s="152" t="str">
        <f t="shared" si="204"/>
        <v/>
      </c>
      <c r="BG139" s="152" t="str">
        <f t="shared" si="204"/>
        <v/>
      </c>
      <c r="BH139" s="152" t="str">
        <f t="shared" si="204"/>
        <v/>
      </c>
      <c r="BI139" s="152" t="str">
        <f t="shared" si="204"/>
        <v/>
      </c>
      <c r="BJ139" s="152" t="str">
        <f t="shared" si="204"/>
        <v/>
      </c>
      <c r="BK139" s="152" t="str">
        <f t="shared" si="204"/>
        <v/>
      </c>
      <c r="BL139" s="152" t="str">
        <f t="shared" si="204"/>
        <v/>
      </c>
      <c r="BM139" s="152" t="str">
        <f t="shared" si="204"/>
        <v/>
      </c>
      <c r="BN139" s="152" t="str">
        <f t="shared" si="204"/>
        <v/>
      </c>
      <c r="BO139" s="152" t="str">
        <f t="shared" si="204"/>
        <v/>
      </c>
      <c r="BP139" s="152" t="str">
        <f t="shared" si="204"/>
        <v/>
      </c>
      <c r="BQ139" s="153" t="str">
        <f t="shared" si="204"/>
        <v/>
      </c>
      <c r="BR139" s="132" t="s">
        <v>0</v>
      </c>
    </row>
    <row r="140" spans="1:70" ht="19.5" customHeight="1" outlineLevel="1">
      <c r="A140" s="324"/>
      <c r="B140" s="115">
        <v>17.5</v>
      </c>
      <c r="C140" s="116"/>
      <c r="D140" s="117"/>
      <c r="E140" s="118"/>
      <c r="F140" s="118" t="s">
        <v>776</v>
      </c>
      <c r="G140" s="118"/>
      <c r="H140" s="118"/>
      <c r="I140" s="119"/>
      <c r="J140" s="120" t="s">
        <v>777</v>
      </c>
      <c r="K140" s="142" t="s">
        <v>778</v>
      </c>
      <c r="L140" s="325" t="s">
        <v>759</v>
      </c>
      <c r="M140" s="122"/>
      <c r="N140" s="123"/>
      <c r="O140" s="122">
        <f t="shared" si="198"/>
        <v>0</v>
      </c>
      <c r="P140" s="327">
        <v>45809</v>
      </c>
      <c r="Q140" s="327">
        <v>45809</v>
      </c>
      <c r="R140" s="123"/>
      <c r="S140" s="122">
        <f t="shared" si="199"/>
        <v>0</v>
      </c>
      <c r="T140" s="327">
        <v>45809</v>
      </c>
      <c r="U140" s="327">
        <f>T140</f>
        <v>45809</v>
      </c>
      <c r="V140" s="123"/>
      <c r="W140" s="122">
        <f t="shared" si="200"/>
        <v>0</v>
      </c>
      <c r="X140" s="327">
        <v>45809</v>
      </c>
      <c r="Y140" s="327">
        <f>X140</f>
        <v>45809</v>
      </c>
      <c r="Z140" s="125"/>
      <c r="AA140" s="126"/>
      <c r="AB140" s="125"/>
      <c r="AC140" s="127"/>
      <c r="AD140" s="126"/>
      <c r="AE140" s="126"/>
      <c r="AF140" s="128"/>
      <c r="AG140" s="128"/>
      <c r="AH140" s="129"/>
      <c r="AI140" s="391" t="str">
        <f t="shared" ref="AI140:BQ140" si="205">IFERROR(IF(AND($T140&gt;=(EOMONTH(AI$8,-1)+1),$U140&lt;AJ$8,$I140="M"),"u",""),"")</f>
        <v/>
      </c>
      <c r="AJ140" s="152" t="str">
        <f t="shared" si="205"/>
        <v/>
      </c>
      <c r="AK140" s="152" t="str">
        <f t="shared" si="205"/>
        <v/>
      </c>
      <c r="AL140" s="152" t="str">
        <f t="shared" si="205"/>
        <v/>
      </c>
      <c r="AM140" s="152" t="str">
        <f t="shared" si="205"/>
        <v/>
      </c>
      <c r="AN140" s="152" t="str">
        <f t="shared" si="205"/>
        <v/>
      </c>
      <c r="AO140" s="152" t="str">
        <f t="shared" si="205"/>
        <v/>
      </c>
      <c r="AP140" s="152" t="str">
        <f t="shared" si="205"/>
        <v/>
      </c>
      <c r="AQ140" s="152" t="str">
        <f t="shared" si="205"/>
        <v/>
      </c>
      <c r="AR140" s="152" t="str">
        <f t="shared" si="205"/>
        <v/>
      </c>
      <c r="AS140" s="152" t="str">
        <f t="shared" si="205"/>
        <v/>
      </c>
      <c r="AT140" s="152" t="str">
        <f t="shared" si="205"/>
        <v/>
      </c>
      <c r="AU140" s="152" t="str">
        <f t="shared" si="205"/>
        <v/>
      </c>
      <c r="AV140" s="152" t="str">
        <f t="shared" si="205"/>
        <v/>
      </c>
      <c r="AW140" s="152" t="str">
        <f t="shared" si="205"/>
        <v/>
      </c>
      <c r="AX140" s="152" t="str">
        <f t="shared" si="205"/>
        <v/>
      </c>
      <c r="AY140" s="152" t="str">
        <f t="shared" si="205"/>
        <v/>
      </c>
      <c r="AZ140" s="152" t="str">
        <f t="shared" si="205"/>
        <v/>
      </c>
      <c r="BA140" s="152" t="str">
        <f t="shared" si="205"/>
        <v/>
      </c>
      <c r="BB140" s="152" t="str">
        <f t="shared" si="205"/>
        <v/>
      </c>
      <c r="BC140" s="152" t="str">
        <f t="shared" si="205"/>
        <v/>
      </c>
      <c r="BD140" s="152" t="str">
        <f t="shared" si="205"/>
        <v/>
      </c>
      <c r="BE140" s="152" t="str">
        <f t="shared" si="205"/>
        <v/>
      </c>
      <c r="BF140" s="152" t="str">
        <f t="shared" si="205"/>
        <v/>
      </c>
      <c r="BG140" s="152" t="str">
        <f t="shared" si="205"/>
        <v/>
      </c>
      <c r="BH140" s="152" t="str">
        <f t="shared" si="205"/>
        <v/>
      </c>
      <c r="BI140" s="152" t="str">
        <f t="shared" si="205"/>
        <v/>
      </c>
      <c r="BJ140" s="152" t="str">
        <f t="shared" si="205"/>
        <v/>
      </c>
      <c r="BK140" s="152" t="str">
        <f t="shared" si="205"/>
        <v/>
      </c>
      <c r="BL140" s="152" t="str">
        <f t="shared" si="205"/>
        <v/>
      </c>
      <c r="BM140" s="152" t="str">
        <f t="shared" si="205"/>
        <v/>
      </c>
      <c r="BN140" s="152" t="str">
        <f t="shared" si="205"/>
        <v/>
      </c>
      <c r="BO140" s="152" t="str">
        <f t="shared" si="205"/>
        <v/>
      </c>
      <c r="BP140" s="152" t="str">
        <f t="shared" si="205"/>
        <v/>
      </c>
      <c r="BQ140" s="153" t="str">
        <f t="shared" si="205"/>
        <v/>
      </c>
      <c r="BR140" s="132" t="s">
        <v>0</v>
      </c>
    </row>
    <row r="141" spans="1:70" ht="19.5" customHeight="1" outlineLevel="1">
      <c r="A141" s="324"/>
      <c r="B141" s="115">
        <v>17.600000000000001</v>
      </c>
      <c r="C141" s="116"/>
      <c r="D141" s="117"/>
      <c r="E141" s="118"/>
      <c r="F141" s="118" t="s">
        <v>779</v>
      </c>
      <c r="G141" s="118"/>
      <c r="H141" s="118"/>
      <c r="I141" s="119"/>
      <c r="J141" s="120" t="s">
        <v>780</v>
      </c>
      <c r="K141" s="142" t="s">
        <v>778</v>
      </c>
      <c r="L141" s="325" t="s">
        <v>759</v>
      </c>
      <c r="M141" s="122"/>
      <c r="N141" s="123"/>
      <c r="O141" s="122">
        <f t="shared" si="198"/>
        <v>458</v>
      </c>
      <c r="P141" s="327">
        <v>46539</v>
      </c>
      <c r="Q141" s="327">
        <v>47178</v>
      </c>
      <c r="R141" s="123"/>
      <c r="S141" s="122">
        <f t="shared" si="199"/>
        <v>1</v>
      </c>
      <c r="T141" s="327">
        <v>47178</v>
      </c>
      <c r="U141" s="327">
        <f>EDATE(U140,45)</f>
        <v>47178</v>
      </c>
      <c r="V141" s="123"/>
      <c r="W141" s="122">
        <f t="shared" si="200"/>
        <v>458</v>
      </c>
      <c r="X141" s="327">
        <f>EDATE(X140,24)</f>
        <v>46539</v>
      </c>
      <c r="Y141" s="327">
        <f>EDATE(Y140,45)</f>
        <v>47178</v>
      </c>
      <c r="Z141" s="125"/>
      <c r="AA141" s="126"/>
      <c r="AB141" s="125"/>
      <c r="AC141" s="127"/>
      <c r="AD141" s="126"/>
      <c r="AE141" s="126"/>
      <c r="AF141" s="128"/>
      <c r="AG141" s="128"/>
      <c r="AH141" s="129"/>
      <c r="AI141" s="391" t="str">
        <f t="shared" ref="AI141:BQ141" si="206">IFERROR(IF(AND($T141&gt;=(EOMONTH(AI$8,-1)+1),$U141&lt;AJ$8,$I141="M"),"u",""),"")</f>
        <v/>
      </c>
      <c r="AJ141" s="152" t="str">
        <f t="shared" si="206"/>
        <v/>
      </c>
      <c r="AK141" s="152" t="str">
        <f t="shared" si="206"/>
        <v/>
      </c>
      <c r="AL141" s="152" t="str">
        <f t="shared" si="206"/>
        <v/>
      </c>
      <c r="AM141" s="152" t="str">
        <f t="shared" si="206"/>
        <v/>
      </c>
      <c r="AN141" s="152" t="str">
        <f t="shared" si="206"/>
        <v/>
      </c>
      <c r="AO141" s="152" t="str">
        <f t="shared" si="206"/>
        <v/>
      </c>
      <c r="AP141" s="152" t="str">
        <f t="shared" si="206"/>
        <v/>
      </c>
      <c r="AQ141" s="152" t="str">
        <f t="shared" si="206"/>
        <v/>
      </c>
      <c r="AR141" s="152" t="str">
        <f t="shared" si="206"/>
        <v/>
      </c>
      <c r="AS141" s="152" t="str">
        <f t="shared" si="206"/>
        <v/>
      </c>
      <c r="AT141" s="152" t="str">
        <f t="shared" si="206"/>
        <v/>
      </c>
      <c r="AU141" s="152" t="str">
        <f t="shared" si="206"/>
        <v/>
      </c>
      <c r="AV141" s="152" t="str">
        <f t="shared" si="206"/>
        <v/>
      </c>
      <c r="AW141" s="152" t="str">
        <f t="shared" si="206"/>
        <v/>
      </c>
      <c r="AX141" s="152" t="str">
        <f t="shared" si="206"/>
        <v/>
      </c>
      <c r="AY141" s="152" t="str">
        <f t="shared" si="206"/>
        <v/>
      </c>
      <c r="AZ141" s="152" t="str">
        <f t="shared" si="206"/>
        <v/>
      </c>
      <c r="BA141" s="152" t="str">
        <f t="shared" si="206"/>
        <v/>
      </c>
      <c r="BB141" s="152" t="str">
        <f t="shared" si="206"/>
        <v/>
      </c>
      <c r="BC141" s="152" t="str">
        <f t="shared" si="206"/>
        <v/>
      </c>
      <c r="BD141" s="152" t="str">
        <f t="shared" si="206"/>
        <v/>
      </c>
      <c r="BE141" s="152" t="str">
        <f t="shared" si="206"/>
        <v/>
      </c>
      <c r="BF141" s="152" t="str">
        <f t="shared" si="206"/>
        <v/>
      </c>
      <c r="BG141" s="152" t="str">
        <f t="shared" si="206"/>
        <v/>
      </c>
      <c r="BH141" s="152" t="str">
        <f t="shared" si="206"/>
        <v/>
      </c>
      <c r="BI141" s="152" t="str">
        <f t="shared" si="206"/>
        <v/>
      </c>
      <c r="BJ141" s="152" t="str">
        <f t="shared" si="206"/>
        <v/>
      </c>
      <c r="BK141" s="152" t="str">
        <f t="shared" si="206"/>
        <v/>
      </c>
      <c r="BL141" s="152" t="str">
        <f t="shared" si="206"/>
        <v/>
      </c>
      <c r="BM141" s="152" t="str">
        <f t="shared" si="206"/>
        <v/>
      </c>
      <c r="BN141" s="152" t="str">
        <f t="shared" si="206"/>
        <v/>
      </c>
      <c r="BO141" s="152" t="str">
        <f t="shared" si="206"/>
        <v/>
      </c>
      <c r="BP141" s="152" t="str">
        <f t="shared" si="206"/>
        <v/>
      </c>
      <c r="BQ141" s="153" t="str">
        <f t="shared" si="206"/>
        <v/>
      </c>
      <c r="BR141" s="132"/>
    </row>
    <row r="142" spans="1:70" ht="19.5" customHeight="1" outlineLevel="1">
      <c r="A142" s="324"/>
      <c r="B142" s="115">
        <v>17.7</v>
      </c>
      <c r="C142" s="116"/>
      <c r="D142" s="117"/>
      <c r="E142" s="118"/>
      <c r="F142" s="118" t="s">
        <v>781</v>
      </c>
      <c r="G142" s="118"/>
      <c r="H142" s="118"/>
      <c r="I142" s="119"/>
      <c r="J142" s="120" t="s">
        <v>782</v>
      </c>
      <c r="K142" s="142" t="s">
        <v>783</v>
      </c>
      <c r="L142" s="325" t="s">
        <v>759</v>
      </c>
      <c r="M142" s="122"/>
      <c r="N142" s="123"/>
      <c r="O142" s="122">
        <f t="shared" si="198"/>
        <v>22</v>
      </c>
      <c r="P142" s="327">
        <v>47088</v>
      </c>
      <c r="Q142" s="327">
        <v>47119</v>
      </c>
      <c r="R142" s="123"/>
      <c r="S142" s="122">
        <f t="shared" si="199"/>
        <v>24</v>
      </c>
      <c r="T142" s="327">
        <v>47119</v>
      </c>
      <c r="U142" s="327">
        <f>EDATE(T142,1)</f>
        <v>47150</v>
      </c>
      <c r="V142" s="123"/>
      <c r="W142" s="122">
        <f t="shared" si="200"/>
        <v>22</v>
      </c>
      <c r="X142" s="327">
        <f>EDATE(X140,42)</f>
        <v>47088</v>
      </c>
      <c r="Y142" s="327">
        <f>EDATE(X142,1)</f>
        <v>47119</v>
      </c>
      <c r="Z142" s="125"/>
      <c r="AA142" s="126"/>
      <c r="AB142" s="125"/>
      <c r="AC142" s="127"/>
      <c r="AD142" s="126"/>
      <c r="AE142" s="126"/>
      <c r="AF142" s="128"/>
      <c r="AG142" s="128"/>
      <c r="AH142" s="129"/>
      <c r="AI142" s="391" t="str">
        <f t="shared" ref="AI142:BQ142" si="207">IFERROR(IF(AND($T142&gt;=(EOMONTH(AI$8,-1)+1),$U142&lt;AJ$8,$I142="M"),"u",""),"")</f>
        <v/>
      </c>
      <c r="AJ142" s="152" t="str">
        <f t="shared" si="207"/>
        <v/>
      </c>
      <c r="AK142" s="152" t="str">
        <f t="shared" si="207"/>
        <v/>
      </c>
      <c r="AL142" s="152" t="str">
        <f t="shared" si="207"/>
        <v/>
      </c>
      <c r="AM142" s="152" t="str">
        <f t="shared" si="207"/>
        <v/>
      </c>
      <c r="AN142" s="152" t="str">
        <f t="shared" si="207"/>
        <v/>
      </c>
      <c r="AO142" s="152" t="str">
        <f t="shared" si="207"/>
        <v/>
      </c>
      <c r="AP142" s="152" t="str">
        <f t="shared" si="207"/>
        <v/>
      </c>
      <c r="AQ142" s="152" t="str">
        <f t="shared" si="207"/>
        <v/>
      </c>
      <c r="AR142" s="152" t="str">
        <f t="shared" si="207"/>
        <v/>
      </c>
      <c r="AS142" s="152" t="str">
        <f t="shared" si="207"/>
        <v/>
      </c>
      <c r="AT142" s="152" t="str">
        <f t="shared" si="207"/>
        <v/>
      </c>
      <c r="AU142" s="152" t="str">
        <f t="shared" si="207"/>
        <v/>
      </c>
      <c r="AV142" s="152" t="str">
        <f t="shared" si="207"/>
        <v/>
      </c>
      <c r="AW142" s="152" t="str">
        <f t="shared" si="207"/>
        <v/>
      </c>
      <c r="AX142" s="152" t="str">
        <f t="shared" si="207"/>
        <v/>
      </c>
      <c r="AY142" s="152" t="str">
        <f t="shared" si="207"/>
        <v/>
      </c>
      <c r="AZ142" s="152" t="str">
        <f t="shared" si="207"/>
        <v/>
      </c>
      <c r="BA142" s="152" t="str">
        <f t="shared" si="207"/>
        <v/>
      </c>
      <c r="BB142" s="152" t="str">
        <f t="shared" si="207"/>
        <v/>
      </c>
      <c r="BC142" s="152" t="str">
        <f t="shared" si="207"/>
        <v/>
      </c>
      <c r="BD142" s="152" t="str">
        <f t="shared" si="207"/>
        <v/>
      </c>
      <c r="BE142" s="152" t="str">
        <f t="shared" si="207"/>
        <v/>
      </c>
      <c r="BF142" s="152" t="str">
        <f t="shared" si="207"/>
        <v/>
      </c>
      <c r="BG142" s="152" t="str">
        <f t="shared" si="207"/>
        <v/>
      </c>
      <c r="BH142" s="152" t="str">
        <f t="shared" si="207"/>
        <v/>
      </c>
      <c r="BI142" s="152" t="str">
        <f t="shared" si="207"/>
        <v/>
      </c>
      <c r="BJ142" s="152" t="str">
        <f t="shared" si="207"/>
        <v/>
      </c>
      <c r="BK142" s="152" t="str">
        <f t="shared" si="207"/>
        <v/>
      </c>
      <c r="BL142" s="152" t="str">
        <f t="shared" si="207"/>
        <v/>
      </c>
      <c r="BM142" s="152" t="str">
        <f t="shared" si="207"/>
        <v/>
      </c>
      <c r="BN142" s="152" t="str">
        <f t="shared" si="207"/>
        <v/>
      </c>
      <c r="BO142" s="152" t="str">
        <f t="shared" si="207"/>
        <v/>
      </c>
      <c r="BP142" s="152" t="str">
        <f t="shared" si="207"/>
        <v/>
      </c>
      <c r="BQ142" s="153" t="str">
        <f t="shared" si="207"/>
        <v/>
      </c>
      <c r="BR142" s="132"/>
    </row>
    <row r="143" spans="1:70" ht="19.5" customHeight="1" outlineLevel="1">
      <c r="A143" s="324"/>
      <c r="B143" s="115">
        <v>17.8</v>
      </c>
      <c r="C143" s="116"/>
      <c r="D143" s="117"/>
      <c r="E143" s="118"/>
      <c r="F143" s="118" t="s">
        <v>784</v>
      </c>
      <c r="G143" s="118"/>
      <c r="H143" s="118"/>
      <c r="I143" s="119"/>
      <c r="J143" s="120" t="s">
        <v>785</v>
      </c>
      <c r="K143" s="142" t="s">
        <v>786</v>
      </c>
      <c r="L143" s="325" t="s">
        <v>759</v>
      </c>
      <c r="M143" s="122"/>
      <c r="N143" s="123"/>
      <c r="O143" s="122">
        <f t="shared" si="198"/>
        <v>652</v>
      </c>
      <c r="P143" s="327">
        <v>47058</v>
      </c>
      <c r="Q143" s="327">
        <v>47969</v>
      </c>
      <c r="R143" s="123"/>
      <c r="S143" s="122">
        <f t="shared" si="199"/>
        <v>654</v>
      </c>
      <c r="T143" s="327">
        <v>47969</v>
      </c>
      <c r="U143" s="327">
        <f>EDATE(T143,30)</f>
        <v>48884</v>
      </c>
      <c r="V143" s="123"/>
      <c r="W143" s="122">
        <f t="shared" si="200"/>
        <v>652</v>
      </c>
      <c r="X143" s="327">
        <f>EDATE(X142,-1)</f>
        <v>47058</v>
      </c>
      <c r="Y143" s="327">
        <f>EDATE(X143,30)</f>
        <v>47969</v>
      </c>
      <c r="Z143" s="125"/>
      <c r="AA143" s="126"/>
      <c r="AB143" s="125"/>
      <c r="AC143" s="127"/>
      <c r="AD143" s="126"/>
      <c r="AE143" s="126"/>
      <c r="AF143" s="128"/>
      <c r="AG143" s="128"/>
      <c r="AH143" s="129"/>
      <c r="AI143" s="391" t="str">
        <f t="shared" ref="AI143:BQ143" si="208">IFERROR(IF(AND($T143&gt;=(EOMONTH(AI$8,-1)+1),$U143&lt;AJ$8,$I143="M"),"u",""),"")</f>
        <v/>
      </c>
      <c r="AJ143" s="152" t="str">
        <f t="shared" si="208"/>
        <v/>
      </c>
      <c r="AK143" s="152" t="str">
        <f t="shared" si="208"/>
        <v/>
      </c>
      <c r="AL143" s="152" t="str">
        <f t="shared" si="208"/>
        <v/>
      </c>
      <c r="AM143" s="152" t="str">
        <f t="shared" si="208"/>
        <v/>
      </c>
      <c r="AN143" s="152" t="str">
        <f t="shared" si="208"/>
        <v/>
      </c>
      <c r="AO143" s="152" t="str">
        <f t="shared" si="208"/>
        <v/>
      </c>
      <c r="AP143" s="152" t="str">
        <f t="shared" si="208"/>
        <v/>
      </c>
      <c r="AQ143" s="152" t="str">
        <f t="shared" si="208"/>
        <v/>
      </c>
      <c r="AR143" s="152" t="str">
        <f t="shared" si="208"/>
        <v/>
      </c>
      <c r="AS143" s="152" t="str">
        <f t="shared" si="208"/>
        <v/>
      </c>
      <c r="AT143" s="152" t="str">
        <f t="shared" si="208"/>
        <v/>
      </c>
      <c r="AU143" s="152" t="str">
        <f t="shared" si="208"/>
        <v/>
      </c>
      <c r="AV143" s="152" t="str">
        <f t="shared" si="208"/>
        <v/>
      </c>
      <c r="AW143" s="152" t="str">
        <f t="shared" si="208"/>
        <v/>
      </c>
      <c r="AX143" s="152" t="str">
        <f t="shared" si="208"/>
        <v/>
      </c>
      <c r="AY143" s="152" t="str">
        <f t="shared" si="208"/>
        <v/>
      </c>
      <c r="AZ143" s="152" t="str">
        <f t="shared" si="208"/>
        <v/>
      </c>
      <c r="BA143" s="152" t="str">
        <f t="shared" si="208"/>
        <v/>
      </c>
      <c r="BB143" s="152" t="str">
        <f t="shared" si="208"/>
        <v/>
      </c>
      <c r="BC143" s="152" t="str">
        <f t="shared" si="208"/>
        <v/>
      </c>
      <c r="BD143" s="152" t="str">
        <f t="shared" si="208"/>
        <v/>
      </c>
      <c r="BE143" s="152" t="str">
        <f t="shared" si="208"/>
        <v/>
      </c>
      <c r="BF143" s="152" t="str">
        <f t="shared" si="208"/>
        <v/>
      </c>
      <c r="BG143" s="152" t="str">
        <f t="shared" si="208"/>
        <v/>
      </c>
      <c r="BH143" s="152" t="str">
        <f t="shared" si="208"/>
        <v/>
      </c>
      <c r="BI143" s="152" t="str">
        <f t="shared" si="208"/>
        <v/>
      </c>
      <c r="BJ143" s="152" t="str">
        <f t="shared" si="208"/>
        <v/>
      </c>
      <c r="BK143" s="152" t="str">
        <f t="shared" si="208"/>
        <v/>
      </c>
      <c r="BL143" s="152" t="str">
        <f t="shared" si="208"/>
        <v/>
      </c>
      <c r="BM143" s="152" t="str">
        <f t="shared" si="208"/>
        <v/>
      </c>
      <c r="BN143" s="152" t="str">
        <f t="shared" si="208"/>
        <v/>
      </c>
      <c r="BO143" s="152" t="str">
        <f t="shared" si="208"/>
        <v/>
      </c>
      <c r="BP143" s="152" t="str">
        <f t="shared" si="208"/>
        <v/>
      </c>
      <c r="BQ143" s="153" t="str">
        <f t="shared" si="208"/>
        <v/>
      </c>
      <c r="BR143" s="132"/>
    </row>
    <row r="144" spans="1:70" ht="19.5" customHeight="1" outlineLevel="1">
      <c r="A144" s="324"/>
      <c r="B144" s="115">
        <v>17.899999999999999</v>
      </c>
      <c r="C144" s="116"/>
      <c r="D144" s="117"/>
      <c r="E144" s="118"/>
      <c r="F144" s="118" t="s">
        <v>787</v>
      </c>
      <c r="G144" s="118"/>
      <c r="H144" s="118"/>
      <c r="I144" s="119"/>
      <c r="J144" s="120" t="s">
        <v>788</v>
      </c>
      <c r="K144" s="142" t="s">
        <v>789</v>
      </c>
      <c r="L144" s="325" t="s">
        <v>790</v>
      </c>
      <c r="M144" s="122"/>
      <c r="N144" s="123"/>
      <c r="O144" s="122">
        <f t="shared" si="198"/>
        <v>0</v>
      </c>
      <c r="P144" s="327"/>
      <c r="Q144" s="327"/>
      <c r="R144" s="123"/>
      <c r="S144" s="122">
        <f t="shared" si="199"/>
        <v>0</v>
      </c>
      <c r="T144" s="327"/>
      <c r="U144" s="133"/>
      <c r="V144" s="123"/>
      <c r="W144" s="122">
        <f t="shared" si="200"/>
        <v>0</v>
      </c>
      <c r="X144" s="327"/>
      <c r="Y144" s="327"/>
      <c r="Z144" s="125"/>
      <c r="AA144" s="126"/>
      <c r="AB144" s="125"/>
      <c r="AC144" s="127"/>
      <c r="AD144" s="126"/>
      <c r="AE144" s="126"/>
      <c r="AF144" s="128"/>
      <c r="AG144" s="128"/>
      <c r="AH144" s="129"/>
      <c r="AI144" s="391" t="str">
        <f t="shared" ref="AI144:BQ144" si="209">IFERROR(IF(AND($T144&gt;=(EOMONTH(AI$8,-1)+1),$U144&lt;AJ$8,$I144="M"),"u",""),"")</f>
        <v/>
      </c>
      <c r="AJ144" s="152" t="str">
        <f t="shared" si="209"/>
        <v/>
      </c>
      <c r="AK144" s="152" t="str">
        <f t="shared" si="209"/>
        <v/>
      </c>
      <c r="AL144" s="152" t="str">
        <f t="shared" si="209"/>
        <v/>
      </c>
      <c r="AM144" s="152" t="str">
        <f t="shared" si="209"/>
        <v/>
      </c>
      <c r="AN144" s="152" t="str">
        <f t="shared" si="209"/>
        <v/>
      </c>
      <c r="AO144" s="152" t="str">
        <f t="shared" si="209"/>
        <v/>
      </c>
      <c r="AP144" s="152" t="str">
        <f t="shared" si="209"/>
        <v/>
      </c>
      <c r="AQ144" s="152" t="str">
        <f t="shared" si="209"/>
        <v/>
      </c>
      <c r="AR144" s="152" t="str">
        <f t="shared" si="209"/>
        <v/>
      </c>
      <c r="AS144" s="152" t="str">
        <f t="shared" si="209"/>
        <v/>
      </c>
      <c r="AT144" s="152" t="str">
        <f t="shared" si="209"/>
        <v/>
      </c>
      <c r="AU144" s="152" t="str">
        <f t="shared" si="209"/>
        <v/>
      </c>
      <c r="AV144" s="152" t="str">
        <f t="shared" si="209"/>
        <v/>
      </c>
      <c r="AW144" s="152" t="str">
        <f t="shared" si="209"/>
        <v/>
      </c>
      <c r="AX144" s="152" t="str">
        <f t="shared" si="209"/>
        <v/>
      </c>
      <c r="AY144" s="152" t="str">
        <f t="shared" si="209"/>
        <v/>
      </c>
      <c r="AZ144" s="152" t="str">
        <f t="shared" si="209"/>
        <v/>
      </c>
      <c r="BA144" s="152" t="str">
        <f t="shared" si="209"/>
        <v/>
      </c>
      <c r="BB144" s="152" t="str">
        <f t="shared" si="209"/>
        <v/>
      </c>
      <c r="BC144" s="152" t="str">
        <f t="shared" si="209"/>
        <v/>
      </c>
      <c r="BD144" s="152" t="str">
        <f t="shared" si="209"/>
        <v/>
      </c>
      <c r="BE144" s="152" t="str">
        <f t="shared" si="209"/>
        <v/>
      </c>
      <c r="BF144" s="152" t="str">
        <f t="shared" si="209"/>
        <v/>
      </c>
      <c r="BG144" s="152" t="str">
        <f t="shared" si="209"/>
        <v/>
      </c>
      <c r="BH144" s="152" t="str">
        <f t="shared" si="209"/>
        <v/>
      </c>
      <c r="BI144" s="152" t="str">
        <f t="shared" si="209"/>
        <v/>
      </c>
      <c r="BJ144" s="152" t="str">
        <f t="shared" si="209"/>
        <v/>
      </c>
      <c r="BK144" s="152" t="str">
        <f t="shared" si="209"/>
        <v/>
      </c>
      <c r="BL144" s="152" t="str">
        <f t="shared" si="209"/>
        <v/>
      </c>
      <c r="BM144" s="152" t="str">
        <f t="shared" si="209"/>
        <v/>
      </c>
      <c r="BN144" s="152" t="str">
        <f t="shared" si="209"/>
        <v/>
      </c>
      <c r="BO144" s="152" t="str">
        <f t="shared" si="209"/>
        <v/>
      </c>
      <c r="BP144" s="152" t="str">
        <f t="shared" si="209"/>
        <v/>
      </c>
      <c r="BQ144" s="153" t="str">
        <f t="shared" si="209"/>
        <v/>
      </c>
      <c r="BR144" s="132" t="s">
        <v>0</v>
      </c>
    </row>
    <row r="145" spans="1:70" ht="19.5" customHeight="1">
      <c r="A145" s="392">
        <v>5</v>
      </c>
      <c r="B145" s="135"/>
      <c r="C145" s="136"/>
      <c r="D145" s="137"/>
      <c r="E145" s="91" t="s">
        <v>791</v>
      </c>
      <c r="F145" s="91"/>
      <c r="G145" s="91"/>
      <c r="H145" s="91"/>
      <c r="I145" s="155"/>
      <c r="J145" s="102"/>
      <c r="K145" s="156"/>
      <c r="L145" s="308"/>
      <c r="M145" s="100"/>
      <c r="N145" s="24"/>
      <c r="O145" s="100"/>
      <c r="P145" s="393"/>
      <c r="Q145" s="393"/>
      <c r="R145" s="24"/>
      <c r="S145" s="100"/>
      <c r="T145" s="393"/>
      <c r="U145" s="157"/>
      <c r="V145" s="24"/>
      <c r="W145" s="100"/>
      <c r="X145" s="393"/>
      <c r="Y145" s="393"/>
      <c r="Z145" s="24"/>
      <c r="AA145" s="158"/>
      <c r="AB145" s="24"/>
      <c r="AC145" s="159"/>
      <c r="AD145" s="158"/>
      <c r="AE145" s="158"/>
      <c r="AF145" s="160"/>
      <c r="AG145" s="160"/>
      <c r="AH145" s="161"/>
      <c r="AI145" s="394" t="str">
        <f t="shared" ref="AI145:BQ145" si="210">IFERROR(IF(AND($T145&gt;=(EOMONTH(AI$8,-1)+1),$U145&lt;AJ$8,$I145="M"),"u",""),"")</f>
        <v/>
      </c>
      <c r="AJ145" s="162" t="str">
        <f t="shared" si="210"/>
        <v/>
      </c>
      <c r="AK145" s="162" t="str">
        <f t="shared" si="210"/>
        <v/>
      </c>
      <c r="AL145" s="162" t="str">
        <f t="shared" si="210"/>
        <v/>
      </c>
      <c r="AM145" s="162" t="str">
        <f t="shared" si="210"/>
        <v/>
      </c>
      <c r="AN145" s="162" t="str">
        <f t="shared" si="210"/>
        <v/>
      </c>
      <c r="AO145" s="162" t="str">
        <f t="shared" si="210"/>
        <v/>
      </c>
      <c r="AP145" s="162" t="str">
        <f t="shared" si="210"/>
        <v/>
      </c>
      <c r="AQ145" s="162" t="str">
        <f t="shared" si="210"/>
        <v/>
      </c>
      <c r="AR145" s="162" t="str">
        <f t="shared" si="210"/>
        <v/>
      </c>
      <c r="AS145" s="162" t="str">
        <f t="shared" si="210"/>
        <v/>
      </c>
      <c r="AT145" s="162" t="str">
        <f t="shared" si="210"/>
        <v/>
      </c>
      <c r="AU145" s="162" t="str">
        <f t="shared" si="210"/>
        <v/>
      </c>
      <c r="AV145" s="162" t="str">
        <f t="shared" si="210"/>
        <v/>
      </c>
      <c r="AW145" s="162" t="str">
        <f t="shared" si="210"/>
        <v/>
      </c>
      <c r="AX145" s="162" t="str">
        <f t="shared" si="210"/>
        <v/>
      </c>
      <c r="AY145" s="162" t="str">
        <f t="shared" si="210"/>
        <v/>
      </c>
      <c r="AZ145" s="162" t="str">
        <f t="shared" si="210"/>
        <v/>
      </c>
      <c r="BA145" s="162" t="str">
        <f t="shared" si="210"/>
        <v/>
      </c>
      <c r="BB145" s="162" t="str">
        <f t="shared" si="210"/>
        <v/>
      </c>
      <c r="BC145" s="162" t="str">
        <f t="shared" si="210"/>
        <v/>
      </c>
      <c r="BD145" s="162" t="str">
        <f t="shared" si="210"/>
        <v/>
      </c>
      <c r="BE145" s="162" t="str">
        <f t="shared" si="210"/>
        <v/>
      </c>
      <c r="BF145" s="162" t="str">
        <f t="shared" si="210"/>
        <v/>
      </c>
      <c r="BG145" s="162" t="str">
        <f t="shared" si="210"/>
        <v/>
      </c>
      <c r="BH145" s="162" t="str">
        <f t="shared" si="210"/>
        <v/>
      </c>
      <c r="BI145" s="162" t="str">
        <f t="shared" si="210"/>
        <v/>
      </c>
      <c r="BJ145" s="162" t="str">
        <f t="shared" si="210"/>
        <v/>
      </c>
      <c r="BK145" s="162" t="str">
        <f t="shared" si="210"/>
        <v/>
      </c>
      <c r="BL145" s="162" t="str">
        <f t="shared" si="210"/>
        <v/>
      </c>
      <c r="BM145" s="162" t="str">
        <f t="shared" si="210"/>
        <v/>
      </c>
      <c r="BN145" s="162" t="str">
        <f t="shared" si="210"/>
        <v/>
      </c>
      <c r="BO145" s="162" t="str">
        <f t="shared" si="210"/>
        <v/>
      </c>
      <c r="BP145" s="162" t="str">
        <f t="shared" si="210"/>
        <v/>
      </c>
      <c r="BQ145" s="163" t="str">
        <f t="shared" si="210"/>
        <v/>
      </c>
      <c r="BR145" s="68"/>
    </row>
    <row r="146" spans="1:70" ht="19.5" customHeight="1" outlineLevel="1">
      <c r="A146" s="392"/>
      <c r="B146" s="135">
        <v>5.0999999999999996</v>
      </c>
      <c r="C146" s="136"/>
      <c r="D146" s="137"/>
      <c r="E146" s="91"/>
      <c r="F146" s="91" t="s">
        <v>792</v>
      </c>
      <c r="G146" s="91"/>
      <c r="H146" s="91"/>
      <c r="I146" s="155"/>
      <c r="J146" s="102"/>
      <c r="K146" s="156"/>
      <c r="L146" s="308"/>
      <c r="M146" s="100"/>
      <c r="N146" s="24"/>
      <c r="O146" s="100"/>
      <c r="P146" s="393"/>
      <c r="Q146" s="393"/>
      <c r="R146" s="24"/>
      <c r="S146" s="100"/>
      <c r="T146" s="393"/>
      <c r="U146" s="157"/>
      <c r="V146" s="24"/>
      <c r="W146" s="100"/>
      <c r="X146" s="393"/>
      <c r="Y146" s="393"/>
      <c r="Z146" s="24"/>
      <c r="AA146" s="158"/>
      <c r="AB146" s="24"/>
      <c r="AC146" s="159"/>
      <c r="AD146" s="158"/>
      <c r="AE146" s="158"/>
      <c r="AF146" s="160"/>
      <c r="AG146" s="160"/>
      <c r="AH146" s="161"/>
      <c r="AI146" s="394" t="str">
        <f t="shared" ref="AI146:BQ146" si="211">IFERROR(IF(AND($T146&gt;=(EOMONTH(AI$8,-1)+1),$U146&lt;AJ$8,$I146="M"),"u",""),"")</f>
        <v/>
      </c>
      <c r="AJ146" s="162" t="str">
        <f t="shared" si="211"/>
        <v/>
      </c>
      <c r="AK146" s="162" t="str">
        <f t="shared" si="211"/>
        <v/>
      </c>
      <c r="AL146" s="162" t="str">
        <f t="shared" si="211"/>
        <v/>
      </c>
      <c r="AM146" s="162" t="str">
        <f t="shared" si="211"/>
        <v/>
      </c>
      <c r="AN146" s="162" t="str">
        <f t="shared" si="211"/>
        <v/>
      </c>
      <c r="AO146" s="162" t="str">
        <f t="shared" si="211"/>
        <v/>
      </c>
      <c r="AP146" s="162" t="str">
        <f t="shared" si="211"/>
        <v/>
      </c>
      <c r="AQ146" s="162" t="str">
        <f t="shared" si="211"/>
        <v/>
      </c>
      <c r="AR146" s="162" t="str">
        <f t="shared" si="211"/>
        <v/>
      </c>
      <c r="AS146" s="162" t="str">
        <f t="shared" si="211"/>
        <v/>
      </c>
      <c r="AT146" s="162" t="str">
        <f t="shared" si="211"/>
        <v/>
      </c>
      <c r="AU146" s="162" t="str">
        <f t="shared" si="211"/>
        <v/>
      </c>
      <c r="AV146" s="162" t="str">
        <f t="shared" si="211"/>
        <v/>
      </c>
      <c r="AW146" s="162" t="str">
        <f t="shared" si="211"/>
        <v/>
      </c>
      <c r="AX146" s="162" t="str">
        <f t="shared" si="211"/>
        <v/>
      </c>
      <c r="AY146" s="162" t="str">
        <f t="shared" si="211"/>
        <v/>
      </c>
      <c r="AZ146" s="162" t="str">
        <f t="shared" si="211"/>
        <v/>
      </c>
      <c r="BA146" s="162" t="str">
        <f t="shared" si="211"/>
        <v/>
      </c>
      <c r="BB146" s="162" t="str">
        <f t="shared" si="211"/>
        <v/>
      </c>
      <c r="BC146" s="162" t="str">
        <f t="shared" si="211"/>
        <v/>
      </c>
      <c r="BD146" s="162" t="str">
        <f t="shared" si="211"/>
        <v/>
      </c>
      <c r="BE146" s="162" t="str">
        <f t="shared" si="211"/>
        <v/>
      </c>
      <c r="BF146" s="162" t="str">
        <f t="shared" si="211"/>
        <v/>
      </c>
      <c r="BG146" s="162" t="str">
        <f t="shared" si="211"/>
        <v/>
      </c>
      <c r="BH146" s="162" t="str">
        <f t="shared" si="211"/>
        <v/>
      </c>
      <c r="BI146" s="162" t="str">
        <f t="shared" si="211"/>
        <v/>
      </c>
      <c r="BJ146" s="162" t="str">
        <f t="shared" si="211"/>
        <v/>
      </c>
      <c r="BK146" s="162" t="str">
        <f t="shared" si="211"/>
        <v/>
      </c>
      <c r="BL146" s="162" t="str">
        <f t="shared" si="211"/>
        <v/>
      </c>
      <c r="BM146" s="162" t="str">
        <f t="shared" si="211"/>
        <v/>
      </c>
      <c r="BN146" s="162" t="str">
        <f t="shared" si="211"/>
        <v/>
      </c>
      <c r="BO146" s="162" t="str">
        <f t="shared" si="211"/>
        <v/>
      </c>
      <c r="BP146" s="162" t="str">
        <f t="shared" si="211"/>
        <v/>
      </c>
      <c r="BQ146" s="163" t="str">
        <f t="shared" si="211"/>
        <v/>
      </c>
      <c r="BR146" s="68"/>
    </row>
    <row r="147" spans="1:70" ht="19.5" customHeight="1" outlineLevel="1">
      <c r="A147" s="392"/>
      <c r="B147" s="135">
        <v>5.2</v>
      </c>
      <c r="C147" s="136"/>
      <c r="D147" s="137"/>
      <c r="E147" s="91"/>
      <c r="F147" s="91" t="s">
        <v>793</v>
      </c>
      <c r="G147" s="91"/>
      <c r="H147" s="91"/>
      <c r="I147" s="155"/>
      <c r="J147" s="102"/>
      <c r="K147" s="156"/>
      <c r="L147" s="308"/>
      <c r="M147" s="100"/>
      <c r="N147" s="24"/>
      <c r="O147" s="100"/>
      <c r="P147" s="393"/>
      <c r="Q147" s="393"/>
      <c r="R147" s="24"/>
      <c r="S147" s="100"/>
      <c r="T147" s="393"/>
      <c r="U147" s="157"/>
      <c r="V147" s="24"/>
      <c r="W147" s="100"/>
      <c r="X147" s="393"/>
      <c r="Y147" s="393"/>
      <c r="Z147" s="24"/>
      <c r="AA147" s="158"/>
      <c r="AB147" s="24"/>
      <c r="AC147" s="159"/>
      <c r="AD147" s="158"/>
      <c r="AE147" s="158"/>
      <c r="AF147" s="160"/>
      <c r="AG147" s="160"/>
      <c r="AH147" s="161"/>
      <c r="AI147" s="394" t="str">
        <f t="shared" ref="AI147:BQ147" si="212">IFERROR(IF(AND($T147&gt;=(EOMONTH(AI$8,-1)+1),$U147&lt;AJ$8,$I147="M"),"u",""),"")</f>
        <v/>
      </c>
      <c r="AJ147" s="162" t="str">
        <f t="shared" si="212"/>
        <v/>
      </c>
      <c r="AK147" s="162" t="str">
        <f t="shared" si="212"/>
        <v/>
      </c>
      <c r="AL147" s="162" t="str">
        <f t="shared" si="212"/>
        <v/>
      </c>
      <c r="AM147" s="162" t="str">
        <f t="shared" si="212"/>
        <v/>
      </c>
      <c r="AN147" s="162" t="str">
        <f t="shared" si="212"/>
        <v/>
      </c>
      <c r="AO147" s="162" t="str">
        <f t="shared" si="212"/>
        <v/>
      </c>
      <c r="AP147" s="162" t="str">
        <f t="shared" si="212"/>
        <v/>
      </c>
      <c r="AQ147" s="162" t="str">
        <f t="shared" si="212"/>
        <v/>
      </c>
      <c r="AR147" s="162" t="str">
        <f t="shared" si="212"/>
        <v/>
      </c>
      <c r="AS147" s="162" t="str">
        <f t="shared" si="212"/>
        <v/>
      </c>
      <c r="AT147" s="162" t="str">
        <f t="shared" si="212"/>
        <v/>
      </c>
      <c r="AU147" s="162" t="str">
        <f t="shared" si="212"/>
        <v/>
      </c>
      <c r="AV147" s="162" t="str">
        <f t="shared" si="212"/>
        <v/>
      </c>
      <c r="AW147" s="162" t="str">
        <f t="shared" si="212"/>
        <v/>
      </c>
      <c r="AX147" s="162" t="str">
        <f t="shared" si="212"/>
        <v/>
      </c>
      <c r="AY147" s="162" t="str">
        <f t="shared" si="212"/>
        <v/>
      </c>
      <c r="AZ147" s="162" t="str">
        <f t="shared" si="212"/>
        <v/>
      </c>
      <c r="BA147" s="162" t="str">
        <f t="shared" si="212"/>
        <v/>
      </c>
      <c r="BB147" s="162" t="str">
        <f t="shared" si="212"/>
        <v/>
      </c>
      <c r="BC147" s="162" t="str">
        <f t="shared" si="212"/>
        <v/>
      </c>
      <c r="BD147" s="162" t="str">
        <f t="shared" si="212"/>
        <v/>
      </c>
      <c r="BE147" s="162" t="str">
        <f t="shared" si="212"/>
        <v/>
      </c>
      <c r="BF147" s="162" t="str">
        <f t="shared" si="212"/>
        <v/>
      </c>
      <c r="BG147" s="162" t="str">
        <f t="shared" si="212"/>
        <v/>
      </c>
      <c r="BH147" s="162" t="str">
        <f t="shared" si="212"/>
        <v/>
      </c>
      <c r="BI147" s="162" t="str">
        <f t="shared" si="212"/>
        <v/>
      </c>
      <c r="BJ147" s="162" t="str">
        <f t="shared" si="212"/>
        <v/>
      </c>
      <c r="BK147" s="162" t="str">
        <f t="shared" si="212"/>
        <v/>
      </c>
      <c r="BL147" s="162" t="str">
        <f t="shared" si="212"/>
        <v/>
      </c>
      <c r="BM147" s="162" t="str">
        <f t="shared" si="212"/>
        <v/>
      </c>
      <c r="BN147" s="162" t="str">
        <f t="shared" si="212"/>
        <v/>
      </c>
      <c r="BO147" s="162" t="str">
        <f t="shared" si="212"/>
        <v/>
      </c>
      <c r="BP147" s="162" t="str">
        <f t="shared" si="212"/>
        <v/>
      </c>
      <c r="BQ147" s="163" t="str">
        <f t="shared" si="212"/>
        <v/>
      </c>
      <c r="BR147" s="68"/>
    </row>
    <row r="148" spans="1:70" ht="19.5" customHeight="1" outlineLevel="1">
      <c r="A148" s="392"/>
      <c r="B148" s="135">
        <v>5.3</v>
      </c>
      <c r="C148" s="136"/>
      <c r="D148" s="137"/>
      <c r="E148" s="91"/>
      <c r="F148" s="91" t="s">
        <v>794</v>
      </c>
      <c r="G148" s="91"/>
      <c r="H148" s="91"/>
      <c r="I148" s="155"/>
      <c r="J148" s="102"/>
      <c r="K148" s="156"/>
      <c r="L148" s="308"/>
      <c r="M148" s="100"/>
      <c r="N148" s="24"/>
      <c r="O148" s="100"/>
      <c r="P148" s="393"/>
      <c r="Q148" s="393"/>
      <c r="R148" s="24"/>
      <c r="S148" s="100"/>
      <c r="T148" s="393"/>
      <c r="U148" s="157"/>
      <c r="V148" s="24"/>
      <c r="W148" s="100"/>
      <c r="X148" s="393"/>
      <c r="Y148" s="393"/>
      <c r="Z148" s="24"/>
      <c r="AA148" s="158"/>
      <c r="AB148" s="24"/>
      <c r="AC148" s="159"/>
      <c r="AD148" s="158"/>
      <c r="AE148" s="158"/>
      <c r="AF148" s="160"/>
      <c r="AG148" s="160"/>
      <c r="AH148" s="161"/>
      <c r="AI148" s="394" t="str">
        <f t="shared" ref="AI148:BQ148" si="213">IFERROR(IF(AND($T148&gt;=(EOMONTH(AI$8,-1)+1),$U148&lt;AJ$8,$I148="M"),"u",""),"")</f>
        <v/>
      </c>
      <c r="AJ148" s="162" t="str">
        <f t="shared" si="213"/>
        <v/>
      </c>
      <c r="AK148" s="162" t="str">
        <f t="shared" si="213"/>
        <v/>
      </c>
      <c r="AL148" s="162" t="str">
        <f t="shared" si="213"/>
        <v/>
      </c>
      <c r="AM148" s="162" t="str">
        <f t="shared" si="213"/>
        <v/>
      </c>
      <c r="AN148" s="162" t="str">
        <f t="shared" si="213"/>
        <v/>
      </c>
      <c r="AO148" s="162" t="str">
        <f t="shared" si="213"/>
        <v/>
      </c>
      <c r="AP148" s="162" t="str">
        <f t="shared" si="213"/>
        <v/>
      </c>
      <c r="AQ148" s="162" t="str">
        <f t="shared" si="213"/>
        <v/>
      </c>
      <c r="AR148" s="162" t="str">
        <f t="shared" si="213"/>
        <v/>
      </c>
      <c r="AS148" s="162" t="str">
        <f t="shared" si="213"/>
        <v/>
      </c>
      <c r="AT148" s="162" t="str">
        <f t="shared" si="213"/>
        <v/>
      </c>
      <c r="AU148" s="162" t="str">
        <f t="shared" si="213"/>
        <v/>
      </c>
      <c r="AV148" s="162" t="str">
        <f t="shared" si="213"/>
        <v/>
      </c>
      <c r="AW148" s="162" t="str">
        <f t="shared" si="213"/>
        <v/>
      </c>
      <c r="AX148" s="162" t="str">
        <f t="shared" si="213"/>
        <v/>
      </c>
      <c r="AY148" s="162" t="str">
        <f t="shared" si="213"/>
        <v/>
      </c>
      <c r="AZ148" s="162" t="str">
        <f t="shared" si="213"/>
        <v/>
      </c>
      <c r="BA148" s="162" t="str">
        <f t="shared" si="213"/>
        <v/>
      </c>
      <c r="BB148" s="162" t="str">
        <f t="shared" si="213"/>
        <v/>
      </c>
      <c r="BC148" s="162" t="str">
        <f t="shared" si="213"/>
        <v/>
      </c>
      <c r="BD148" s="162" t="str">
        <f t="shared" si="213"/>
        <v/>
      </c>
      <c r="BE148" s="162" t="str">
        <f t="shared" si="213"/>
        <v/>
      </c>
      <c r="BF148" s="162" t="str">
        <f t="shared" si="213"/>
        <v/>
      </c>
      <c r="BG148" s="162" t="str">
        <f t="shared" si="213"/>
        <v/>
      </c>
      <c r="BH148" s="162" t="str">
        <f t="shared" si="213"/>
        <v/>
      </c>
      <c r="BI148" s="162" t="str">
        <f t="shared" si="213"/>
        <v/>
      </c>
      <c r="BJ148" s="162" t="str">
        <f t="shared" si="213"/>
        <v/>
      </c>
      <c r="BK148" s="162" t="str">
        <f t="shared" si="213"/>
        <v/>
      </c>
      <c r="BL148" s="162" t="str">
        <f t="shared" si="213"/>
        <v/>
      </c>
      <c r="BM148" s="162" t="str">
        <f t="shared" si="213"/>
        <v/>
      </c>
      <c r="BN148" s="162" t="str">
        <f t="shared" si="213"/>
        <v/>
      </c>
      <c r="BO148" s="162" t="str">
        <f t="shared" si="213"/>
        <v/>
      </c>
      <c r="BP148" s="162" t="str">
        <f t="shared" si="213"/>
        <v/>
      </c>
      <c r="BQ148" s="163" t="str">
        <f t="shared" si="213"/>
        <v/>
      </c>
      <c r="BR148" s="68"/>
    </row>
    <row r="149" spans="1:70" ht="19.5" customHeight="1" outlineLevel="1">
      <c r="A149" s="392"/>
      <c r="B149" s="135">
        <v>5.4</v>
      </c>
      <c r="C149" s="136"/>
      <c r="D149" s="137"/>
      <c r="E149" s="91"/>
      <c r="F149" s="91" t="s">
        <v>795</v>
      </c>
      <c r="G149" s="91"/>
      <c r="H149" s="91"/>
      <c r="I149" s="155"/>
      <c r="J149" s="102"/>
      <c r="K149" s="156"/>
      <c r="L149" s="308"/>
      <c r="M149" s="100"/>
      <c r="N149" s="24"/>
      <c r="O149" s="100"/>
      <c r="P149" s="393"/>
      <c r="Q149" s="393"/>
      <c r="R149" s="24"/>
      <c r="S149" s="100"/>
      <c r="T149" s="393"/>
      <c r="U149" s="157"/>
      <c r="V149" s="24"/>
      <c r="W149" s="100"/>
      <c r="X149" s="393"/>
      <c r="Y149" s="393"/>
      <c r="Z149" s="24"/>
      <c r="AA149" s="158"/>
      <c r="AB149" s="24"/>
      <c r="AC149" s="159"/>
      <c r="AD149" s="158"/>
      <c r="AE149" s="158"/>
      <c r="AF149" s="160"/>
      <c r="AG149" s="160"/>
      <c r="AH149" s="161"/>
      <c r="AI149" s="394" t="str">
        <f t="shared" ref="AI149:BQ149" si="214">IFERROR(IF(AND($T149&gt;=(EOMONTH(AI$8,-1)+1),$U149&lt;AJ$8,$I149="M"),"u",""),"")</f>
        <v/>
      </c>
      <c r="AJ149" s="162" t="str">
        <f t="shared" si="214"/>
        <v/>
      </c>
      <c r="AK149" s="162" t="str">
        <f t="shared" si="214"/>
        <v/>
      </c>
      <c r="AL149" s="162" t="str">
        <f t="shared" si="214"/>
        <v/>
      </c>
      <c r="AM149" s="162" t="str">
        <f t="shared" si="214"/>
        <v/>
      </c>
      <c r="AN149" s="162" t="str">
        <f t="shared" si="214"/>
        <v/>
      </c>
      <c r="AO149" s="162" t="str">
        <f t="shared" si="214"/>
        <v/>
      </c>
      <c r="AP149" s="162" t="str">
        <f t="shared" si="214"/>
        <v/>
      </c>
      <c r="AQ149" s="162" t="str">
        <f t="shared" si="214"/>
        <v/>
      </c>
      <c r="AR149" s="162" t="str">
        <f t="shared" si="214"/>
        <v/>
      </c>
      <c r="AS149" s="162" t="str">
        <f t="shared" si="214"/>
        <v/>
      </c>
      <c r="AT149" s="162" t="str">
        <f t="shared" si="214"/>
        <v/>
      </c>
      <c r="AU149" s="162" t="str">
        <f t="shared" si="214"/>
        <v/>
      </c>
      <c r="AV149" s="162" t="str">
        <f t="shared" si="214"/>
        <v/>
      </c>
      <c r="AW149" s="162" t="str">
        <f t="shared" si="214"/>
        <v/>
      </c>
      <c r="AX149" s="162" t="str">
        <f t="shared" si="214"/>
        <v/>
      </c>
      <c r="AY149" s="162" t="str">
        <f t="shared" si="214"/>
        <v/>
      </c>
      <c r="AZ149" s="162" t="str">
        <f t="shared" si="214"/>
        <v/>
      </c>
      <c r="BA149" s="162" t="str">
        <f t="shared" si="214"/>
        <v/>
      </c>
      <c r="BB149" s="162" t="str">
        <f t="shared" si="214"/>
        <v/>
      </c>
      <c r="BC149" s="162" t="str">
        <f t="shared" si="214"/>
        <v/>
      </c>
      <c r="BD149" s="162" t="str">
        <f t="shared" si="214"/>
        <v/>
      </c>
      <c r="BE149" s="162" t="str">
        <f t="shared" si="214"/>
        <v/>
      </c>
      <c r="BF149" s="162" t="str">
        <f t="shared" si="214"/>
        <v/>
      </c>
      <c r="BG149" s="162" t="str">
        <f t="shared" si="214"/>
        <v/>
      </c>
      <c r="BH149" s="162" t="str">
        <f t="shared" si="214"/>
        <v/>
      </c>
      <c r="BI149" s="162" t="str">
        <f t="shared" si="214"/>
        <v/>
      </c>
      <c r="BJ149" s="162" t="str">
        <f t="shared" si="214"/>
        <v/>
      </c>
      <c r="BK149" s="162" t="str">
        <f t="shared" si="214"/>
        <v/>
      </c>
      <c r="BL149" s="162" t="str">
        <f t="shared" si="214"/>
        <v/>
      </c>
      <c r="BM149" s="162" t="str">
        <f t="shared" si="214"/>
        <v/>
      </c>
      <c r="BN149" s="162" t="str">
        <f t="shared" si="214"/>
        <v/>
      </c>
      <c r="BO149" s="162" t="str">
        <f t="shared" si="214"/>
        <v/>
      </c>
      <c r="BP149" s="162" t="str">
        <f t="shared" si="214"/>
        <v/>
      </c>
      <c r="BQ149" s="163" t="str">
        <f t="shared" si="214"/>
        <v/>
      </c>
      <c r="BR149" s="68"/>
    </row>
    <row r="150" spans="1:70" ht="19.5" customHeight="1" outlineLevel="1">
      <c r="A150" s="324"/>
      <c r="B150" s="115">
        <v>18.100000000000001</v>
      </c>
      <c r="C150" s="116"/>
      <c r="D150" s="117"/>
      <c r="E150" s="118"/>
      <c r="F150" s="118" t="s">
        <v>796</v>
      </c>
      <c r="G150" s="118"/>
      <c r="H150" s="118"/>
      <c r="I150" s="119"/>
      <c r="J150" s="120"/>
      <c r="K150" s="142"/>
      <c r="L150" s="325"/>
      <c r="M150" s="122"/>
      <c r="N150" s="123"/>
      <c r="O150" s="122"/>
      <c r="P150" s="327"/>
      <c r="Q150" s="327"/>
      <c r="R150" s="123"/>
      <c r="S150" s="122"/>
      <c r="T150" s="327"/>
      <c r="U150" s="133"/>
      <c r="V150" s="123"/>
      <c r="W150" s="122"/>
      <c r="X150" s="327"/>
      <c r="Y150" s="327"/>
      <c r="Z150" s="125"/>
      <c r="AA150" s="126"/>
      <c r="AB150" s="125"/>
      <c r="AC150" s="127"/>
      <c r="AD150" s="126"/>
      <c r="AE150" s="126"/>
      <c r="AF150" s="128"/>
      <c r="AG150" s="128"/>
      <c r="AH150" s="129"/>
      <c r="AI150" s="391" t="str">
        <f t="shared" ref="AI150:BQ150" si="215">IFERROR(IF(AND($T150&gt;=(EOMONTH(AI$8,-1)+1),$U150&lt;AJ$8,$I150="M"),"u",""),"")</f>
        <v/>
      </c>
      <c r="AJ150" s="152" t="str">
        <f t="shared" si="215"/>
        <v/>
      </c>
      <c r="AK150" s="152" t="str">
        <f t="shared" si="215"/>
        <v/>
      </c>
      <c r="AL150" s="152" t="str">
        <f t="shared" si="215"/>
        <v/>
      </c>
      <c r="AM150" s="152" t="str">
        <f t="shared" si="215"/>
        <v/>
      </c>
      <c r="AN150" s="152" t="str">
        <f t="shared" si="215"/>
        <v/>
      </c>
      <c r="AO150" s="152" t="str">
        <f t="shared" si="215"/>
        <v/>
      </c>
      <c r="AP150" s="152" t="str">
        <f t="shared" si="215"/>
        <v/>
      </c>
      <c r="AQ150" s="152" t="str">
        <f t="shared" si="215"/>
        <v/>
      </c>
      <c r="AR150" s="152" t="str">
        <f t="shared" si="215"/>
        <v/>
      </c>
      <c r="AS150" s="152" t="str">
        <f t="shared" si="215"/>
        <v/>
      </c>
      <c r="AT150" s="152" t="str">
        <f t="shared" si="215"/>
        <v/>
      </c>
      <c r="AU150" s="152" t="str">
        <f t="shared" si="215"/>
        <v/>
      </c>
      <c r="AV150" s="152" t="str">
        <f t="shared" si="215"/>
        <v/>
      </c>
      <c r="AW150" s="152" t="str">
        <f t="shared" si="215"/>
        <v/>
      </c>
      <c r="AX150" s="152" t="str">
        <f t="shared" si="215"/>
        <v/>
      </c>
      <c r="AY150" s="152" t="str">
        <f t="shared" si="215"/>
        <v/>
      </c>
      <c r="AZ150" s="152" t="str">
        <f t="shared" si="215"/>
        <v/>
      </c>
      <c r="BA150" s="152" t="str">
        <f t="shared" si="215"/>
        <v/>
      </c>
      <c r="BB150" s="152" t="str">
        <f t="shared" si="215"/>
        <v/>
      </c>
      <c r="BC150" s="152" t="str">
        <f t="shared" si="215"/>
        <v/>
      </c>
      <c r="BD150" s="152" t="str">
        <f t="shared" si="215"/>
        <v/>
      </c>
      <c r="BE150" s="152" t="str">
        <f t="shared" si="215"/>
        <v/>
      </c>
      <c r="BF150" s="152" t="str">
        <f t="shared" si="215"/>
        <v/>
      </c>
      <c r="BG150" s="152" t="str">
        <f t="shared" si="215"/>
        <v/>
      </c>
      <c r="BH150" s="152" t="str">
        <f t="shared" si="215"/>
        <v/>
      </c>
      <c r="BI150" s="152" t="str">
        <f t="shared" si="215"/>
        <v/>
      </c>
      <c r="BJ150" s="152" t="str">
        <f t="shared" si="215"/>
        <v/>
      </c>
      <c r="BK150" s="152" t="str">
        <f t="shared" si="215"/>
        <v/>
      </c>
      <c r="BL150" s="152" t="str">
        <f t="shared" si="215"/>
        <v/>
      </c>
      <c r="BM150" s="152" t="str">
        <f t="shared" si="215"/>
        <v/>
      </c>
      <c r="BN150" s="152" t="str">
        <f t="shared" si="215"/>
        <v/>
      </c>
      <c r="BO150" s="152" t="str">
        <f t="shared" si="215"/>
        <v/>
      </c>
      <c r="BP150" s="152" t="str">
        <f t="shared" si="215"/>
        <v/>
      </c>
      <c r="BQ150" s="153" t="str">
        <f t="shared" si="215"/>
        <v/>
      </c>
      <c r="BR150" s="132"/>
    </row>
    <row r="151" spans="1:70" ht="19.5" customHeight="1" outlineLevel="1">
      <c r="A151" s="324"/>
      <c r="B151" s="115">
        <v>18.2</v>
      </c>
      <c r="C151" s="116"/>
      <c r="D151" s="117"/>
      <c r="E151" s="118"/>
      <c r="F151" s="118" t="s">
        <v>797</v>
      </c>
      <c r="G151" s="118"/>
      <c r="H151" s="118"/>
      <c r="I151" s="119"/>
      <c r="J151" s="120"/>
      <c r="K151" s="142"/>
      <c r="L151" s="325"/>
      <c r="M151" s="122"/>
      <c r="N151" s="123"/>
      <c r="O151" s="122"/>
      <c r="P151" s="327"/>
      <c r="Q151" s="327"/>
      <c r="R151" s="123"/>
      <c r="S151" s="122"/>
      <c r="T151" s="327"/>
      <c r="U151" s="133"/>
      <c r="V151" s="123"/>
      <c r="W151" s="122"/>
      <c r="X151" s="327"/>
      <c r="Y151" s="327"/>
      <c r="Z151" s="125"/>
      <c r="AA151" s="126"/>
      <c r="AB151" s="125"/>
      <c r="AC151" s="127"/>
      <c r="AD151" s="126"/>
      <c r="AE151" s="126"/>
      <c r="AF151" s="128"/>
      <c r="AG151" s="128"/>
      <c r="AH151" s="129"/>
      <c r="AI151" s="391" t="str">
        <f t="shared" ref="AI151:BQ151" si="216">IFERROR(IF(AND($T151&gt;=(EOMONTH(AI$8,-1)+1),$U151&lt;AJ$8,$I151="M"),"u",""),"")</f>
        <v/>
      </c>
      <c r="AJ151" s="152" t="str">
        <f t="shared" si="216"/>
        <v/>
      </c>
      <c r="AK151" s="152" t="str">
        <f t="shared" si="216"/>
        <v/>
      </c>
      <c r="AL151" s="152" t="str">
        <f t="shared" si="216"/>
        <v/>
      </c>
      <c r="AM151" s="152" t="str">
        <f t="shared" si="216"/>
        <v/>
      </c>
      <c r="AN151" s="152" t="str">
        <f t="shared" si="216"/>
        <v/>
      </c>
      <c r="AO151" s="152" t="str">
        <f t="shared" si="216"/>
        <v/>
      </c>
      <c r="AP151" s="152" t="str">
        <f t="shared" si="216"/>
        <v/>
      </c>
      <c r="AQ151" s="152" t="str">
        <f t="shared" si="216"/>
        <v/>
      </c>
      <c r="AR151" s="152" t="str">
        <f t="shared" si="216"/>
        <v/>
      </c>
      <c r="AS151" s="152" t="str">
        <f t="shared" si="216"/>
        <v/>
      </c>
      <c r="AT151" s="152" t="str">
        <f t="shared" si="216"/>
        <v/>
      </c>
      <c r="AU151" s="152" t="str">
        <f t="shared" si="216"/>
        <v/>
      </c>
      <c r="AV151" s="152" t="str">
        <f t="shared" si="216"/>
        <v/>
      </c>
      <c r="AW151" s="152" t="str">
        <f t="shared" si="216"/>
        <v/>
      </c>
      <c r="AX151" s="152" t="str">
        <f t="shared" si="216"/>
        <v/>
      </c>
      <c r="AY151" s="152" t="str">
        <f t="shared" si="216"/>
        <v/>
      </c>
      <c r="AZ151" s="152" t="str">
        <f t="shared" si="216"/>
        <v/>
      </c>
      <c r="BA151" s="152" t="str">
        <f t="shared" si="216"/>
        <v/>
      </c>
      <c r="BB151" s="152" t="str">
        <f t="shared" si="216"/>
        <v/>
      </c>
      <c r="BC151" s="152" t="str">
        <f t="shared" si="216"/>
        <v/>
      </c>
      <c r="BD151" s="152" t="str">
        <f t="shared" si="216"/>
        <v/>
      </c>
      <c r="BE151" s="152" t="str">
        <f t="shared" si="216"/>
        <v/>
      </c>
      <c r="BF151" s="152" t="str">
        <f t="shared" si="216"/>
        <v/>
      </c>
      <c r="BG151" s="152" t="str">
        <f t="shared" si="216"/>
        <v/>
      </c>
      <c r="BH151" s="152" t="str">
        <f t="shared" si="216"/>
        <v/>
      </c>
      <c r="BI151" s="152" t="str">
        <f t="shared" si="216"/>
        <v/>
      </c>
      <c r="BJ151" s="152" t="str">
        <f t="shared" si="216"/>
        <v/>
      </c>
      <c r="BK151" s="152" t="str">
        <f t="shared" si="216"/>
        <v/>
      </c>
      <c r="BL151" s="152" t="str">
        <f t="shared" si="216"/>
        <v/>
      </c>
      <c r="BM151" s="152" t="str">
        <f t="shared" si="216"/>
        <v/>
      </c>
      <c r="BN151" s="152" t="str">
        <f t="shared" si="216"/>
        <v/>
      </c>
      <c r="BO151" s="152" t="str">
        <f t="shared" si="216"/>
        <v/>
      </c>
      <c r="BP151" s="152" t="str">
        <f t="shared" si="216"/>
        <v/>
      </c>
      <c r="BQ151" s="153" t="str">
        <f t="shared" si="216"/>
        <v/>
      </c>
      <c r="BR151" s="132"/>
    </row>
    <row r="152" spans="1:70" ht="19.5" customHeight="1" outlineLevel="1">
      <c r="A152" s="324"/>
      <c r="B152" s="115">
        <v>18.3</v>
      </c>
      <c r="C152" s="116"/>
      <c r="D152" s="117"/>
      <c r="E152" s="118"/>
      <c r="F152" s="118" t="s">
        <v>798</v>
      </c>
      <c r="G152" s="118"/>
      <c r="H152" s="118"/>
      <c r="I152" s="119"/>
      <c r="J152" s="120"/>
      <c r="K152" s="142"/>
      <c r="L152" s="325"/>
      <c r="M152" s="122"/>
      <c r="N152" s="123"/>
      <c r="O152" s="122"/>
      <c r="P152" s="327"/>
      <c r="Q152" s="327"/>
      <c r="R152" s="123"/>
      <c r="S152" s="122"/>
      <c r="T152" s="327"/>
      <c r="U152" s="133"/>
      <c r="V152" s="123"/>
      <c r="W152" s="122"/>
      <c r="X152" s="327"/>
      <c r="Y152" s="327"/>
      <c r="Z152" s="125"/>
      <c r="AA152" s="126"/>
      <c r="AB152" s="125"/>
      <c r="AC152" s="127"/>
      <c r="AD152" s="126"/>
      <c r="AE152" s="126"/>
      <c r="AF152" s="128"/>
      <c r="AG152" s="128"/>
      <c r="AH152" s="129"/>
      <c r="AI152" s="391" t="str">
        <f t="shared" ref="AI152:BQ152" si="217">IFERROR(IF(AND($T152&gt;=(EOMONTH(AI$8,-1)+1),$U152&lt;AJ$8,$I152="M"),"u",""),"")</f>
        <v/>
      </c>
      <c r="AJ152" s="152" t="str">
        <f t="shared" si="217"/>
        <v/>
      </c>
      <c r="AK152" s="152" t="str">
        <f t="shared" si="217"/>
        <v/>
      </c>
      <c r="AL152" s="152" t="str">
        <f t="shared" si="217"/>
        <v/>
      </c>
      <c r="AM152" s="152" t="str">
        <f t="shared" si="217"/>
        <v/>
      </c>
      <c r="AN152" s="152" t="str">
        <f t="shared" si="217"/>
        <v/>
      </c>
      <c r="AO152" s="152" t="str">
        <f t="shared" si="217"/>
        <v/>
      </c>
      <c r="AP152" s="152" t="str">
        <f t="shared" si="217"/>
        <v/>
      </c>
      <c r="AQ152" s="152" t="str">
        <f t="shared" si="217"/>
        <v/>
      </c>
      <c r="AR152" s="152" t="str">
        <f t="shared" si="217"/>
        <v/>
      </c>
      <c r="AS152" s="152" t="str">
        <f t="shared" si="217"/>
        <v/>
      </c>
      <c r="AT152" s="152" t="str">
        <f t="shared" si="217"/>
        <v/>
      </c>
      <c r="AU152" s="152" t="str">
        <f t="shared" si="217"/>
        <v/>
      </c>
      <c r="AV152" s="152" t="str">
        <f t="shared" si="217"/>
        <v/>
      </c>
      <c r="AW152" s="152" t="str">
        <f t="shared" si="217"/>
        <v/>
      </c>
      <c r="AX152" s="152" t="str">
        <f t="shared" si="217"/>
        <v/>
      </c>
      <c r="AY152" s="152" t="str">
        <f t="shared" si="217"/>
        <v/>
      </c>
      <c r="AZ152" s="152" t="str">
        <f t="shared" si="217"/>
        <v/>
      </c>
      <c r="BA152" s="152" t="str">
        <f t="shared" si="217"/>
        <v/>
      </c>
      <c r="BB152" s="152" t="str">
        <f t="shared" si="217"/>
        <v/>
      </c>
      <c r="BC152" s="152" t="str">
        <f t="shared" si="217"/>
        <v/>
      </c>
      <c r="BD152" s="152" t="str">
        <f t="shared" si="217"/>
        <v/>
      </c>
      <c r="BE152" s="152" t="str">
        <f t="shared" si="217"/>
        <v/>
      </c>
      <c r="BF152" s="152" t="str">
        <f t="shared" si="217"/>
        <v/>
      </c>
      <c r="BG152" s="152" t="str">
        <f t="shared" si="217"/>
        <v/>
      </c>
      <c r="BH152" s="152" t="str">
        <f t="shared" si="217"/>
        <v/>
      </c>
      <c r="BI152" s="152" t="str">
        <f t="shared" si="217"/>
        <v/>
      </c>
      <c r="BJ152" s="152" t="str">
        <f t="shared" si="217"/>
        <v/>
      </c>
      <c r="BK152" s="152" t="str">
        <f t="shared" si="217"/>
        <v/>
      </c>
      <c r="BL152" s="152" t="str">
        <f t="shared" si="217"/>
        <v/>
      </c>
      <c r="BM152" s="152" t="str">
        <f t="shared" si="217"/>
        <v/>
      </c>
      <c r="BN152" s="152" t="str">
        <f t="shared" si="217"/>
        <v/>
      </c>
      <c r="BO152" s="152" t="str">
        <f t="shared" si="217"/>
        <v/>
      </c>
      <c r="BP152" s="152" t="str">
        <f t="shared" si="217"/>
        <v/>
      </c>
      <c r="BQ152" s="153" t="str">
        <f t="shared" si="217"/>
        <v/>
      </c>
      <c r="BR152" s="132"/>
    </row>
    <row r="153" spans="1:70" ht="19.5" customHeight="1" outlineLevel="1">
      <c r="A153" s="324"/>
      <c r="B153" s="115">
        <v>18.399999999999999</v>
      </c>
      <c r="C153" s="116"/>
      <c r="D153" s="117"/>
      <c r="E153" s="118"/>
      <c r="F153" s="118" t="s">
        <v>799</v>
      </c>
      <c r="G153" s="118"/>
      <c r="H153" s="118"/>
      <c r="I153" s="119"/>
      <c r="J153" s="120"/>
      <c r="K153" s="142"/>
      <c r="L153" s="325"/>
      <c r="M153" s="122"/>
      <c r="N153" s="123"/>
      <c r="O153" s="122"/>
      <c r="P153" s="327"/>
      <c r="Q153" s="327"/>
      <c r="R153" s="123"/>
      <c r="S153" s="122"/>
      <c r="T153" s="327"/>
      <c r="U153" s="133"/>
      <c r="V153" s="123"/>
      <c r="W153" s="122"/>
      <c r="X153" s="327"/>
      <c r="Y153" s="327"/>
      <c r="Z153" s="125"/>
      <c r="AA153" s="126"/>
      <c r="AB153" s="125"/>
      <c r="AC153" s="127"/>
      <c r="AD153" s="126"/>
      <c r="AE153" s="126"/>
      <c r="AF153" s="128"/>
      <c r="AG153" s="128"/>
      <c r="AH153" s="129"/>
      <c r="AI153" s="391" t="str">
        <f t="shared" ref="AI153:BQ153" si="218">IFERROR(IF(AND($T153&gt;=(EOMONTH(AI$8,-1)+1),$U153&lt;AJ$8,$I153="M"),"u",""),"")</f>
        <v/>
      </c>
      <c r="AJ153" s="152" t="str">
        <f t="shared" si="218"/>
        <v/>
      </c>
      <c r="AK153" s="152" t="str">
        <f t="shared" si="218"/>
        <v/>
      </c>
      <c r="AL153" s="152" t="str">
        <f t="shared" si="218"/>
        <v/>
      </c>
      <c r="AM153" s="152" t="str">
        <f t="shared" si="218"/>
        <v/>
      </c>
      <c r="AN153" s="152" t="str">
        <f t="shared" si="218"/>
        <v/>
      </c>
      <c r="AO153" s="152" t="str">
        <f t="shared" si="218"/>
        <v/>
      </c>
      <c r="AP153" s="152" t="str">
        <f t="shared" si="218"/>
        <v/>
      </c>
      <c r="AQ153" s="152" t="str">
        <f t="shared" si="218"/>
        <v/>
      </c>
      <c r="AR153" s="152" t="str">
        <f t="shared" si="218"/>
        <v/>
      </c>
      <c r="AS153" s="152" t="str">
        <f t="shared" si="218"/>
        <v/>
      </c>
      <c r="AT153" s="152" t="str">
        <f t="shared" si="218"/>
        <v/>
      </c>
      <c r="AU153" s="152" t="str">
        <f t="shared" si="218"/>
        <v/>
      </c>
      <c r="AV153" s="152" t="str">
        <f t="shared" si="218"/>
        <v/>
      </c>
      <c r="AW153" s="152" t="str">
        <f t="shared" si="218"/>
        <v/>
      </c>
      <c r="AX153" s="152" t="str">
        <f t="shared" si="218"/>
        <v/>
      </c>
      <c r="AY153" s="152" t="str">
        <f t="shared" si="218"/>
        <v/>
      </c>
      <c r="AZ153" s="152" t="str">
        <f t="shared" si="218"/>
        <v/>
      </c>
      <c r="BA153" s="152" t="str">
        <f t="shared" si="218"/>
        <v/>
      </c>
      <c r="BB153" s="152" t="str">
        <f t="shared" si="218"/>
        <v/>
      </c>
      <c r="BC153" s="152" t="str">
        <f t="shared" si="218"/>
        <v/>
      </c>
      <c r="BD153" s="152" t="str">
        <f t="shared" si="218"/>
        <v/>
      </c>
      <c r="BE153" s="152" t="str">
        <f t="shared" si="218"/>
        <v/>
      </c>
      <c r="BF153" s="152" t="str">
        <f t="shared" si="218"/>
        <v/>
      </c>
      <c r="BG153" s="152" t="str">
        <f t="shared" si="218"/>
        <v/>
      </c>
      <c r="BH153" s="152" t="str">
        <f t="shared" si="218"/>
        <v/>
      </c>
      <c r="BI153" s="152" t="str">
        <f t="shared" si="218"/>
        <v/>
      </c>
      <c r="BJ153" s="152" t="str">
        <f t="shared" si="218"/>
        <v/>
      </c>
      <c r="BK153" s="152" t="str">
        <f t="shared" si="218"/>
        <v/>
      </c>
      <c r="BL153" s="152" t="str">
        <f t="shared" si="218"/>
        <v/>
      </c>
      <c r="BM153" s="152" t="str">
        <f t="shared" si="218"/>
        <v/>
      </c>
      <c r="BN153" s="152" t="str">
        <f t="shared" si="218"/>
        <v/>
      </c>
      <c r="BO153" s="152" t="str">
        <f t="shared" si="218"/>
        <v/>
      </c>
      <c r="BP153" s="152" t="str">
        <f t="shared" si="218"/>
        <v/>
      </c>
      <c r="BQ153" s="153" t="str">
        <f t="shared" si="218"/>
        <v/>
      </c>
      <c r="BR153" s="132"/>
    </row>
    <row r="154" spans="1:70" ht="19.5" customHeight="1">
      <c r="A154" s="320">
        <v>6</v>
      </c>
      <c r="B154" s="83"/>
      <c r="C154" s="84"/>
      <c r="D154" s="85"/>
      <c r="E154" s="12" t="s">
        <v>800</v>
      </c>
      <c r="F154" s="35"/>
      <c r="G154" s="35"/>
      <c r="H154" s="35"/>
      <c r="I154" s="38"/>
      <c r="J154" s="86"/>
      <c r="K154" s="140"/>
      <c r="L154" s="249" t="s">
        <v>586</v>
      </c>
      <c r="M154" s="32"/>
      <c r="N154" s="22"/>
      <c r="O154" s="32">
        <f>NETWORKDAYS(P154,Q154)</f>
        <v>0</v>
      </c>
      <c r="P154" s="31">
        <f>MIN(P156:P158)</f>
        <v>0</v>
      </c>
      <c r="Q154" s="31">
        <f>MAX(Q156:Q158)</f>
        <v>0</v>
      </c>
      <c r="R154" s="22"/>
      <c r="S154" s="31">
        <f>MIN(S156:S158)</f>
        <v>0</v>
      </c>
      <c r="T154" s="31">
        <f t="shared" ref="T154:U154" si="219">MAX(T156:T158)</f>
        <v>0</v>
      </c>
      <c r="U154" s="31">
        <f t="shared" si="219"/>
        <v>0</v>
      </c>
      <c r="V154" s="22"/>
      <c r="W154" s="32">
        <f>NETWORKDAYS(X154,Y154)</f>
        <v>0</v>
      </c>
      <c r="X154" s="31">
        <f>MIN(X156:X158)</f>
        <v>0</v>
      </c>
      <c r="Y154" s="31">
        <f>MAX(Y156:Y158)</f>
        <v>0</v>
      </c>
      <c r="Z154" s="24"/>
      <c r="AA154" s="40"/>
      <c r="AB154" s="24"/>
      <c r="AC154" s="46" t="e">
        <f>AVERAGE(AC70:AC161)</f>
        <v>#DIV/0!</v>
      </c>
      <c r="AD154" s="40" t="s">
        <v>801</v>
      </c>
      <c r="AE154" s="40"/>
      <c r="AF154" s="41"/>
      <c r="AG154" s="41"/>
      <c r="AH154" s="28"/>
      <c r="AI154" s="291" t="str">
        <f t="shared" ref="AI154:BQ154" si="220">IFERROR(IF(AND($T154&gt;=(EOMONTH(AI$8,-1)+1),$U154&lt;AJ$8,$I154="M"),"u",""),"")</f>
        <v/>
      </c>
      <c r="AJ154" s="81" t="str">
        <f t="shared" si="220"/>
        <v/>
      </c>
      <c r="AK154" s="81" t="str">
        <f t="shared" si="220"/>
        <v/>
      </c>
      <c r="AL154" s="81" t="str">
        <f t="shared" si="220"/>
        <v/>
      </c>
      <c r="AM154" s="81" t="str">
        <f t="shared" si="220"/>
        <v/>
      </c>
      <c r="AN154" s="81" t="str">
        <f t="shared" si="220"/>
        <v/>
      </c>
      <c r="AO154" s="81" t="str">
        <f t="shared" si="220"/>
        <v/>
      </c>
      <c r="AP154" s="81" t="str">
        <f t="shared" si="220"/>
        <v/>
      </c>
      <c r="AQ154" s="81" t="str">
        <f t="shared" si="220"/>
        <v/>
      </c>
      <c r="AR154" s="81" t="str">
        <f t="shared" si="220"/>
        <v/>
      </c>
      <c r="AS154" s="81" t="str">
        <f t="shared" si="220"/>
        <v/>
      </c>
      <c r="AT154" s="81" t="str">
        <f t="shared" si="220"/>
        <v/>
      </c>
      <c r="AU154" s="81" t="str">
        <f t="shared" si="220"/>
        <v/>
      </c>
      <c r="AV154" s="81" t="str">
        <f t="shared" si="220"/>
        <v/>
      </c>
      <c r="AW154" s="81" t="str">
        <f t="shared" si="220"/>
        <v/>
      </c>
      <c r="AX154" s="81" t="str">
        <f t="shared" si="220"/>
        <v/>
      </c>
      <c r="AY154" s="81" t="str">
        <f t="shared" si="220"/>
        <v/>
      </c>
      <c r="AZ154" s="81" t="str">
        <f t="shared" si="220"/>
        <v/>
      </c>
      <c r="BA154" s="81" t="str">
        <f t="shared" si="220"/>
        <v/>
      </c>
      <c r="BB154" s="81" t="str">
        <f t="shared" si="220"/>
        <v/>
      </c>
      <c r="BC154" s="81" t="str">
        <f t="shared" si="220"/>
        <v/>
      </c>
      <c r="BD154" s="81" t="str">
        <f t="shared" si="220"/>
        <v/>
      </c>
      <c r="BE154" s="81" t="str">
        <f t="shared" si="220"/>
        <v/>
      </c>
      <c r="BF154" s="81" t="str">
        <f t="shared" si="220"/>
        <v/>
      </c>
      <c r="BG154" s="81" t="str">
        <f t="shared" si="220"/>
        <v/>
      </c>
      <c r="BH154" s="81" t="str">
        <f t="shared" si="220"/>
        <v/>
      </c>
      <c r="BI154" s="81" t="str">
        <f t="shared" si="220"/>
        <v/>
      </c>
      <c r="BJ154" s="81" t="str">
        <f t="shared" si="220"/>
        <v/>
      </c>
      <c r="BK154" s="81" t="str">
        <f t="shared" si="220"/>
        <v/>
      </c>
      <c r="BL154" s="81" t="str">
        <f t="shared" si="220"/>
        <v/>
      </c>
      <c r="BM154" s="81" t="str">
        <f t="shared" si="220"/>
        <v/>
      </c>
      <c r="BN154" s="81" t="str">
        <f t="shared" si="220"/>
        <v/>
      </c>
      <c r="BO154" s="81" t="str">
        <f t="shared" si="220"/>
        <v/>
      </c>
      <c r="BP154" s="81" t="str">
        <f t="shared" si="220"/>
        <v/>
      </c>
      <c r="BQ154" s="82" t="str">
        <f t="shared" si="220"/>
        <v/>
      </c>
      <c r="BR154" s="11" t="s">
        <v>0</v>
      </c>
    </row>
    <row r="155" spans="1:70" ht="19.5" customHeight="1" outlineLevel="1">
      <c r="A155" s="320"/>
      <c r="B155" s="83">
        <v>6.1</v>
      </c>
      <c r="C155" s="84"/>
      <c r="D155" s="85"/>
      <c r="E155" s="12"/>
      <c r="F155" s="35" t="s">
        <v>802</v>
      </c>
      <c r="G155" s="35"/>
      <c r="H155" s="35"/>
      <c r="I155" s="38"/>
      <c r="J155" s="86"/>
      <c r="K155" s="140"/>
      <c r="L155" s="249"/>
      <c r="M155" s="32"/>
      <c r="N155" s="22"/>
      <c r="O155" s="32"/>
      <c r="P155" s="31"/>
      <c r="Q155" s="31"/>
      <c r="R155" s="22"/>
      <c r="S155" s="31"/>
      <c r="T155" s="31"/>
      <c r="U155" s="31"/>
      <c r="V155" s="22"/>
      <c r="W155" s="32"/>
      <c r="X155" s="31"/>
      <c r="Y155" s="31"/>
      <c r="Z155" s="24"/>
      <c r="AA155" s="40"/>
      <c r="AB155" s="24"/>
      <c r="AC155" s="46"/>
      <c r="AD155" s="40"/>
      <c r="AE155" s="40"/>
      <c r="AF155" s="41"/>
      <c r="AG155" s="41"/>
      <c r="AH155" s="28"/>
      <c r="AI155" s="291" t="str">
        <f t="shared" ref="AI155:BQ155" si="221">IFERROR(IF(AND($T155&gt;=(EOMONTH(AI$8,-1)+1),$U155&lt;AJ$8,$I155="M"),"u",""),"")</f>
        <v/>
      </c>
      <c r="AJ155" s="81" t="str">
        <f t="shared" si="221"/>
        <v/>
      </c>
      <c r="AK155" s="81" t="str">
        <f t="shared" si="221"/>
        <v/>
      </c>
      <c r="AL155" s="81" t="str">
        <f t="shared" si="221"/>
        <v/>
      </c>
      <c r="AM155" s="81" t="str">
        <f t="shared" si="221"/>
        <v/>
      </c>
      <c r="AN155" s="81" t="str">
        <f t="shared" si="221"/>
        <v/>
      </c>
      <c r="AO155" s="81" t="str">
        <f t="shared" si="221"/>
        <v/>
      </c>
      <c r="AP155" s="81" t="str">
        <f t="shared" si="221"/>
        <v/>
      </c>
      <c r="AQ155" s="81" t="str">
        <f t="shared" si="221"/>
        <v/>
      </c>
      <c r="AR155" s="81" t="str">
        <f t="shared" si="221"/>
        <v/>
      </c>
      <c r="AS155" s="81" t="str">
        <f t="shared" si="221"/>
        <v/>
      </c>
      <c r="AT155" s="81" t="str">
        <f t="shared" si="221"/>
        <v/>
      </c>
      <c r="AU155" s="81" t="str">
        <f t="shared" si="221"/>
        <v/>
      </c>
      <c r="AV155" s="81" t="str">
        <f t="shared" si="221"/>
        <v/>
      </c>
      <c r="AW155" s="81" t="str">
        <f t="shared" si="221"/>
        <v/>
      </c>
      <c r="AX155" s="81" t="str">
        <f t="shared" si="221"/>
        <v/>
      </c>
      <c r="AY155" s="81" t="str">
        <f t="shared" si="221"/>
        <v/>
      </c>
      <c r="AZ155" s="81" t="str">
        <f t="shared" si="221"/>
        <v/>
      </c>
      <c r="BA155" s="81" t="str">
        <f t="shared" si="221"/>
        <v/>
      </c>
      <c r="BB155" s="81" t="str">
        <f t="shared" si="221"/>
        <v/>
      </c>
      <c r="BC155" s="81" t="str">
        <f t="shared" si="221"/>
        <v/>
      </c>
      <c r="BD155" s="81" t="str">
        <f t="shared" si="221"/>
        <v/>
      </c>
      <c r="BE155" s="81" t="str">
        <f t="shared" si="221"/>
        <v/>
      </c>
      <c r="BF155" s="81" t="str">
        <f t="shared" si="221"/>
        <v/>
      </c>
      <c r="BG155" s="81" t="str">
        <f t="shared" si="221"/>
        <v/>
      </c>
      <c r="BH155" s="81" t="str">
        <f t="shared" si="221"/>
        <v/>
      </c>
      <c r="BI155" s="81" t="str">
        <f t="shared" si="221"/>
        <v/>
      </c>
      <c r="BJ155" s="81" t="str">
        <f t="shared" si="221"/>
        <v/>
      </c>
      <c r="BK155" s="81" t="str">
        <f t="shared" si="221"/>
        <v/>
      </c>
      <c r="BL155" s="81" t="str">
        <f t="shared" si="221"/>
        <v/>
      </c>
      <c r="BM155" s="81" t="str">
        <f t="shared" si="221"/>
        <v/>
      </c>
      <c r="BN155" s="81" t="str">
        <f t="shared" si="221"/>
        <v/>
      </c>
      <c r="BO155" s="81" t="str">
        <f t="shared" si="221"/>
        <v/>
      </c>
      <c r="BP155" s="81" t="str">
        <f t="shared" si="221"/>
        <v/>
      </c>
      <c r="BQ155" s="82" t="str">
        <f t="shared" si="221"/>
        <v/>
      </c>
      <c r="BR155" s="11"/>
    </row>
    <row r="156" spans="1:70" ht="19.5" customHeight="1" outlineLevel="1">
      <c r="A156" s="320"/>
      <c r="B156" s="83">
        <v>6.2</v>
      </c>
      <c r="C156" s="84"/>
      <c r="D156" s="85"/>
      <c r="E156" s="35"/>
      <c r="F156" s="35" t="s">
        <v>803</v>
      </c>
      <c r="G156" s="35"/>
      <c r="H156" s="35"/>
      <c r="I156" s="38"/>
      <c r="J156" s="86"/>
      <c r="K156" s="140" t="s">
        <v>804</v>
      </c>
      <c r="L156" s="249" t="s">
        <v>586</v>
      </c>
      <c r="M156" s="32"/>
      <c r="N156" s="22"/>
      <c r="O156" s="32">
        <f t="shared" ref="O156:O163" si="222">NETWORKDAYS(P156,Q156)</f>
        <v>0</v>
      </c>
      <c r="P156" s="53"/>
      <c r="Q156" s="53"/>
      <c r="R156" s="22"/>
      <c r="S156" s="53"/>
      <c r="T156" s="53"/>
      <c r="U156" s="138">
        <f t="shared" ref="U156:U158" si="223">T156+S156</f>
        <v>0</v>
      </c>
      <c r="V156" s="22"/>
      <c r="W156" s="32">
        <f t="shared" ref="W156:W163" si="224">NETWORKDAYS(X156,Y156)</f>
        <v>0</v>
      </c>
      <c r="X156" s="53"/>
      <c r="Y156" s="53"/>
      <c r="Z156" s="24"/>
      <c r="AA156" s="40"/>
      <c r="AB156" s="24"/>
      <c r="AC156" s="46"/>
      <c r="AD156" s="40" t="s">
        <v>805</v>
      </c>
      <c r="AE156" s="40"/>
      <c r="AF156" s="41"/>
      <c r="AG156" s="41"/>
      <c r="AH156" s="28"/>
      <c r="AI156" s="291" t="str">
        <f t="shared" ref="AI156:BQ156" si="225">IFERROR(IF(AND($T156&gt;=(EOMONTH(AI$8,-1)+1),$U156&lt;AJ$8,$I156="M"),"u",""),"")</f>
        <v/>
      </c>
      <c r="AJ156" s="81" t="str">
        <f t="shared" si="225"/>
        <v/>
      </c>
      <c r="AK156" s="81" t="str">
        <f t="shared" si="225"/>
        <v/>
      </c>
      <c r="AL156" s="81" t="str">
        <f t="shared" si="225"/>
        <v/>
      </c>
      <c r="AM156" s="81" t="str">
        <f t="shared" si="225"/>
        <v/>
      </c>
      <c r="AN156" s="81" t="str">
        <f t="shared" si="225"/>
        <v/>
      </c>
      <c r="AO156" s="81" t="str">
        <f t="shared" si="225"/>
        <v/>
      </c>
      <c r="AP156" s="81" t="str">
        <f t="shared" si="225"/>
        <v/>
      </c>
      <c r="AQ156" s="81" t="str">
        <f t="shared" si="225"/>
        <v/>
      </c>
      <c r="AR156" s="81" t="str">
        <f t="shared" si="225"/>
        <v/>
      </c>
      <c r="AS156" s="81" t="str">
        <f t="shared" si="225"/>
        <v/>
      </c>
      <c r="AT156" s="81" t="str">
        <f t="shared" si="225"/>
        <v/>
      </c>
      <c r="AU156" s="81" t="str">
        <f t="shared" si="225"/>
        <v/>
      </c>
      <c r="AV156" s="81" t="str">
        <f t="shared" si="225"/>
        <v/>
      </c>
      <c r="AW156" s="81" t="str">
        <f t="shared" si="225"/>
        <v/>
      </c>
      <c r="AX156" s="81" t="str">
        <f t="shared" si="225"/>
        <v/>
      </c>
      <c r="AY156" s="81" t="str">
        <f t="shared" si="225"/>
        <v/>
      </c>
      <c r="AZ156" s="81" t="str">
        <f t="shared" si="225"/>
        <v/>
      </c>
      <c r="BA156" s="81" t="str">
        <f t="shared" si="225"/>
        <v/>
      </c>
      <c r="BB156" s="81" t="str">
        <f t="shared" si="225"/>
        <v/>
      </c>
      <c r="BC156" s="81" t="str">
        <f t="shared" si="225"/>
        <v/>
      </c>
      <c r="BD156" s="81" t="str">
        <f t="shared" si="225"/>
        <v/>
      </c>
      <c r="BE156" s="81" t="str">
        <f t="shared" si="225"/>
        <v/>
      </c>
      <c r="BF156" s="81" t="str">
        <f t="shared" si="225"/>
        <v/>
      </c>
      <c r="BG156" s="81" t="str">
        <f t="shared" si="225"/>
        <v/>
      </c>
      <c r="BH156" s="81" t="str">
        <f t="shared" si="225"/>
        <v/>
      </c>
      <c r="BI156" s="81" t="str">
        <f t="shared" si="225"/>
        <v/>
      </c>
      <c r="BJ156" s="81" t="str">
        <f t="shared" si="225"/>
        <v/>
      </c>
      <c r="BK156" s="81" t="str">
        <f t="shared" si="225"/>
        <v/>
      </c>
      <c r="BL156" s="81" t="str">
        <f t="shared" si="225"/>
        <v/>
      </c>
      <c r="BM156" s="81" t="str">
        <f t="shared" si="225"/>
        <v/>
      </c>
      <c r="BN156" s="81" t="str">
        <f t="shared" si="225"/>
        <v/>
      </c>
      <c r="BO156" s="81" t="str">
        <f t="shared" si="225"/>
        <v/>
      </c>
      <c r="BP156" s="81" t="str">
        <f t="shared" si="225"/>
        <v/>
      </c>
      <c r="BQ156" s="82" t="str">
        <f t="shared" si="225"/>
        <v/>
      </c>
      <c r="BR156" s="11" t="s">
        <v>0</v>
      </c>
    </row>
    <row r="157" spans="1:70" ht="19.5" customHeight="1" outlineLevel="1">
      <c r="A157" s="320"/>
      <c r="B157" s="83">
        <v>6.3</v>
      </c>
      <c r="C157" s="84"/>
      <c r="D157" s="85"/>
      <c r="E157" s="35"/>
      <c r="F157" s="35" t="s">
        <v>806</v>
      </c>
      <c r="G157" s="35"/>
      <c r="H157" s="35"/>
      <c r="I157" s="38"/>
      <c r="J157" s="86"/>
      <c r="K157" s="140"/>
      <c r="L157" s="249" t="s">
        <v>586</v>
      </c>
      <c r="M157" s="32"/>
      <c r="N157" s="22"/>
      <c r="O157" s="32">
        <f t="shared" si="222"/>
        <v>0</v>
      </c>
      <c r="P157" s="53"/>
      <c r="Q157" s="53"/>
      <c r="R157" s="22"/>
      <c r="S157" s="53"/>
      <c r="T157" s="53"/>
      <c r="U157" s="138">
        <f t="shared" si="223"/>
        <v>0</v>
      </c>
      <c r="V157" s="22"/>
      <c r="W157" s="32">
        <f t="shared" si="224"/>
        <v>0</v>
      </c>
      <c r="X157" s="53"/>
      <c r="Y157" s="53"/>
      <c r="Z157" s="24"/>
      <c r="AA157" s="40"/>
      <c r="AB157" s="24"/>
      <c r="AC157" s="46"/>
      <c r="AD157" s="40" t="s">
        <v>807</v>
      </c>
      <c r="AE157" s="40"/>
      <c r="AF157" s="41"/>
      <c r="AG157" s="41"/>
      <c r="AH157" s="28"/>
      <c r="AI157" s="291" t="str">
        <f t="shared" ref="AI157:BQ157" si="226">IFERROR(IF(AND($T157&gt;=(EOMONTH(AI$8,-1)+1),$U157&lt;AJ$8,$I157="M"),"u",""),"")</f>
        <v/>
      </c>
      <c r="AJ157" s="81" t="str">
        <f t="shared" si="226"/>
        <v/>
      </c>
      <c r="AK157" s="81" t="str">
        <f t="shared" si="226"/>
        <v/>
      </c>
      <c r="AL157" s="81" t="str">
        <f t="shared" si="226"/>
        <v/>
      </c>
      <c r="AM157" s="81" t="str">
        <f t="shared" si="226"/>
        <v/>
      </c>
      <c r="AN157" s="81" t="str">
        <f t="shared" si="226"/>
        <v/>
      </c>
      <c r="AO157" s="81" t="str">
        <f t="shared" si="226"/>
        <v/>
      </c>
      <c r="AP157" s="81" t="str">
        <f t="shared" si="226"/>
        <v/>
      </c>
      <c r="AQ157" s="81" t="str">
        <f t="shared" si="226"/>
        <v/>
      </c>
      <c r="AR157" s="81" t="str">
        <f t="shared" si="226"/>
        <v/>
      </c>
      <c r="AS157" s="81" t="str">
        <f t="shared" si="226"/>
        <v/>
      </c>
      <c r="AT157" s="81" t="str">
        <f t="shared" si="226"/>
        <v/>
      </c>
      <c r="AU157" s="81" t="str">
        <f t="shared" si="226"/>
        <v/>
      </c>
      <c r="AV157" s="81" t="str">
        <f t="shared" si="226"/>
        <v/>
      </c>
      <c r="AW157" s="81" t="str">
        <f t="shared" si="226"/>
        <v/>
      </c>
      <c r="AX157" s="81" t="str">
        <f t="shared" si="226"/>
        <v/>
      </c>
      <c r="AY157" s="81" t="str">
        <f t="shared" si="226"/>
        <v/>
      </c>
      <c r="AZ157" s="81" t="str">
        <f t="shared" si="226"/>
        <v/>
      </c>
      <c r="BA157" s="81" t="str">
        <f t="shared" si="226"/>
        <v/>
      </c>
      <c r="BB157" s="81" t="str">
        <f t="shared" si="226"/>
        <v/>
      </c>
      <c r="BC157" s="81" t="str">
        <f t="shared" si="226"/>
        <v/>
      </c>
      <c r="BD157" s="81" t="str">
        <f t="shared" si="226"/>
        <v/>
      </c>
      <c r="BE157" s="81" t="str">
        <f t="shared" si="226"/>
        <v/>
      </c>
      <c r="BF157" s="81" t="str">
        <f t="shared" si="226"/>
        <v/>
      </c>
      <c r="BG157" s="81" t="str">
        <f t="shared" si="226"/>
        <v/>
      </c>
      <c r="BH157" s="81" t="str">
        <f t="shared" si="226"/>
        <v/>
      </c>
      <c r="BI157" s="81" t="str">
        <f t="shared" si="226"/>
        <v/>
      </c>
      <c r="BJ157" s="81" t="str">
        <f t="shared" si="226"/>
        <v/>
      </c>
      <c r="BK157" s="81" t="str">
        <f t="shared" si="226"/>
        <v/>
      </c>
      <c r="BL157" s="81" t="str">
        <f t="shared" si="226"/>
        <v/>
      </c>
      <c r="BM157" s="81" t="str">
        <f t="shared" si="226"/>
        <v/>
      </c>
      <c r="BN157" s="81" t="str">
        <f t="shared" si="226"/>
        <v/>
      </c>
      <c r="BO157" s="81" t="str">
        <f t="shared" si="226"/>
        <v/>
      </c>
      <c r="BP157" s="81" t="str">
        <f t="shared" si="226"/>
        <v/>
      </c>
      <c r="BQ157" s="82" t="str">
        <f t="shared" si="226"/>
        <v/>
      </c>
      <c r="BR157" s="11" t="s">
        <v>0</v>
      </c>
    </row>
    <row r="158" spans="1:70" ht="19.5" customHeight="1" outlineLevel="1">
      <c r="A158" s="320"/>
      <c r="B158" s="83">
        <v>6.4</v>
      </c>
      <c r="C158" s="84"/>
      <c r="D158" s="85"/>
      <c r="E158" s="35"/>
      <c r="F158" s="35" t="s">
        <v>808</v>
      </c>
      <c r="G158" s="35"/>
      <c r="H158" s="35"/>
      <c r="I158" s="38"/>
      <c r="J158" s="86"/>
      <c r="K158" s="140" t="s">
        <v>809</v>
      </c>
      <c r="L158" s="249" t="s">
        <v>586</v>
      </c>
      <c r="M158" s="32"/>
      <c r="N158" s="22"/>
      <c r="O158" s="32">
        <f t="shared" si="222"/>
        <v>0</v>
      </c>
      <c r="P158" s="53"/>
      <c r="Q158" s="53"/>
      <c r="R158" s="22"/>
      <c r="S158" s="53"/>
      <c r="T158" s="53"/>
      <c r="U158" s="138">
        <f t="shared" si="223"/>
        <v>0</v>
      </c>
      <c r="V158" s="22"/>
      <c r="W158" s="32">
        <f t="shared" si="224"/>
        <v>0</v>
      </c>
      <c r="X158" s="53"/>
      <c r="Y158" s="53"/>
      <c r="Z158" s="24"/>
      <c r="AA158" s="40"/>
      <c r="AB158" s="24"/>
      <c r="AC158" s="46"/>
      <c r="AD158" s="40" t="s">
        <v>810</v>
      </c>
      <c r="AE158" s="40"/>
      <c r="AF158" s="41"/>
      <c r="AG158" s="41"/>
      <c r="AH158" s="28"/>
      <c r="AI158" s="291" t="str">
        <f t="shared" ref="AI158:BQ158" si="227">IFERROR(IF(AND($T158&gt;=(EOMONTH(AI$8,-1)+1),$U158&lt;AJ$8,$I158="M"),"u",""),"")</f>
        <v/>
      </c>
      <c r="AJ158" s="81" t="str">
        <f t="shared" si="227"/>
        <v/>
      </c>
      <c r="AK158" s="81" t="str">
        <f t="shared" si="227"/>
        <v/>
      </c>
      <c r="AL158" s="81" t="str">
        <f t="shared" si="227"/>
        <v/>
      </c>
      <c r="AM158" s="81" t="str">
        <f t="shared" si="227"/>
        <v/>
      </c>
      <c r="AN158" s="81" t="str">
        <f t="shared" si="227"/>
        <v/>
      </c>
      <c r="AO158" s="81" t="str">
        <f t="shared" si="227"/>
        <v/>
      </c>
      <c r="AP158" s="81" t="str">
        <f t="shared" si="227"/>
        <v/>
      </c>
      <c r="AQ158" s="81" t="str">
        <f t="shared" si="227"/>
        <v/>
      </c>
      <c r="AR158" s="81" t="str">
        <f t="shared" si="227"/>
        <v/>
      </c>
      <c r="AS158" s="81" t="str">
        <f t="shared" si="227"/>
        <v/>
      </c>
      <c r="AT158" s="81" t="str">
        <f t="shared" si="227"/>
        <v/>
      </c>
      <c r="AU158" s="81" t="str">
        <f t="shared" si="227"/>
        <v/>
      </c>
      <c r="AV158" s="81" t="str">
        <f t="shared" si="227"/>
        <v/>
      </c>
      <c r="AW158" s="81" t="str">
        <f t="shared" si="227"/>
        <v/>
      </c>
      <c r="AX158" s="81" t="str">
        <f t="shared" si="227"/>
        <v/>
      </c>
      <c r="AY158" s="81" t="str">
        <f t="shared" si="227"/>
        <v/>
      </c>
      <c r="AZ158" s="81" t="str">
        <f t="shared" si="227"/>
        <v/>
      </c>
      <c r="BA158" s="81" t="str">
        <f t="shared" si="227"/>
        <v/>
      </c>
      <c r="BB158" s="81" t="str">
        <f t="shared" si="227"/>
        <v/>
      </c>
      <c r="BC158" s="81" t="str">
        <f t="shared" si="227"/>
        <v/>
      </c>
      <c r="BD158" s="81" t="str">
        <f t="shared" si="227"/>
        <v/>
      </c>
      <c r="BE158" s="81" t="str">
        <f t="shared" si="227"/>
        <v/>
      </c>
      <c r="BF158" s="81" t="str">
        <f t="shared" si="227"/>
        <v/>
      </c>
      <c r="BG158" s="81" t="str">
        <f t="shared" si="227"/>
        <v/>
      </c>
      <c r="BH158" s="81" t="str">
        <f t="shared" si="227"/>
        <v/>
      </c>
      <c r="BI158" s="81" t="str">
        <f t="shared" si="227"/>
        <v/>
      </c>
      <c r="BJ158" s="81" t="str">
        <f t="shared" si="227"/>
        <v/>
      </c>
      <c r="BK158" s="81" t="str">
        <f t="shared" si="227"/>
        <v/>
      </c>
      <c r="BL158" s="81" t="str">
        <f t="shared" si="227"/>
        <v/>
      </c>
      <c r="BM158" s="81" t="str">
        <f t="shared" si="227"/>
        <v/>
      </c>
      <c r="BN158" s="81" t="str">
        <f t="shared" si="227"/>
        <v/>
      </c>
      <c r="BO158" s="81" t="str">
        <f t="shared" si="227"/>
        <v/>
      </c>
      <c r="BP158" s="81" t="str">
        <f t="shared" si="227"/>
        <v/>
      </c>
      <c r="BQ158" s="82" t="str">
        <f t="shared" si="227"/>
        <v/>
      </c>
      <c r="BR158" s="11" t="s">
        <v>0</v>
      </c>
    </row>
    <row r="159" spans="1:70" ht="19.5" customHeight="1" collapsed="1">
      <c r="A159" s="340">
        <v>19</v>
      </c>
      <c r="B159" s="115"/>
      <c r="C159" s="116"/>
      <c r="D159" s="117"/>
      <c r="E159" s="164" t="s">
        <v>811</v>
      </c>
      <c r="F159" s="118"/>
      <c r="G159" s="118"/>
      <c r="H159" s="118"/>
      <c r="I159" s="119"/>
      <c r="J159" s="120"/>
      <c r="K159" s="142"/>
      <c r="L159" s="325"/>
      <c r="M159" s="122"/>
      <c r="N159" s="123"/>
      <c r="O159" s="122">
        <f t="shared" si="222"/>
        <v>0</v>
      </c>
      <c r="P159" s="124">
        <f>MIN(P160:P161)</f>
        <v>0</v>
      </c>
      <c r="Q159" s="124">
        <f>MAX(Q160:Q161)</f>
        <v>0</v>
      </c>
      <c r="R159" s="123"/>
      <c r="S159" s="124">
        <f>MIN(S160:S161)</f>
        <v>0</v>
      </c>
      <c r="T159" s="124">
        <f t="shared" ref="T159:U159" si="228">MAX(T160:T161)</f>
        <v>0</v>
      </c>
      <c r="U159" s="124">
        <f t="shared" si="228"/>
        <v>0</v>
      </c>
      <c r="V159" s="123"/>
      <c r="W159" s="122">
        <f t="shared" si="224"/>
        <v>0</v>
      </c>
      <c r="X159" s="124">
        <f>MIN(X160:X161)</f>
        <v>0</v>
      </c>
      <c r="Y159" s="124">
        <f>MAX(Y160:Y161)</f>
        <v>0</v>
      </c>
      <c r="Z159" s="125"/>
      <c r="AA159" s="126"/>
      <c r="AB159" s="125"/>
      <c r="AC159" s="127" t="e">
        <f>AVERAGE(#REF!)</f>
        <v>#REF!</v>
      </c>
      <c r="AD159" s="126"/>
      <c r="AE159" s="126"/>
      <c r="AF159" s="128"/>
      <c r="AG159" s="128"/>
      <c r="AH159" s="129"/>
      <c r="AI159" s="391" t="str">
        <f t="shared" ref="AI159:BQ159" si="229">IFERROR(IF(AND($T159&gt;=(EOMONTH(AI$8,-1)+1),$U159&lt;AJ$8,$I159="M"),"u",""),"")</f>
        <v/>
      </c>
      <c r="AJ159" s="152" t="str">
        <f t="shared" si="229"/>
        <v/>
      </c>
      <c r="AK159" s="152" t="str">
        <f t="shared" si="229"/>
        <v/>
      </c>
      <c r="AL159" s="152" t="str">
        <f t="shared" si="229"/>
        <v/>
      </c>
      <c r="AM159" s="152" t="str">
        <f t="shared" si="229"/>
        <v/>
      </c>
      <c r="AN159" s="152" t="str">
        <f t="shared" si="229"/>
        <v/>
      </c>
      <c r="AO159" s="152" t="str">
        <f t="shared" si="229"/>
        <v/>
      </c>
      <c r="AP159" s="152" t="str">
        <f t="shared" si="229"/>
        <v/>
      </c>
      <c r="AQ159" s="152" t="str">
        <f t="shared" si="229"/>
        <v/>
      </c>
      <c r="AR159" s="152" t="str">
        <f t="shared" si="229"/>
        <v/>
      </c>
      <c r="AS159" s="152" t="str">
        <f t="shared" si="229"/>
        <v/>
      </c>
      <c r="AT159" s="152" t="str">
        <f t="shared" si="229"/>
        <v/>
      </c>
      <c r="AU159" s="152" t="str">
        <f t="shared" si="229"/>
        <v/>
      </c>
      <c r="AV159" s="152" t="str">
        <f t="shared" si="229"/>
        <v/>
      </c>
      <c r="AW159" s="152" t="str">
        <f t="shared" si="229"/>
        <v/>
      </c>
      <c r="AX159" s="152" t="str">
        <f t="shared" si="229"/>
        <v/>
      </c>
      <c r="AY159" s="152" t="str">
        <f t="shared" si="229"/>
        <v/>
      </c>
      <c r="AZ159" s="152" t="str">
        <f t="shared" si="229"/>
        <v/>
      </c>
      <c r="BA159" s="152" t="str">
        <f t="shared" si="229"/>
        <v/>
      </c>
      <c r="BB159" s="152" t="str">
        <f t="shared" si="229"/>
        <v/>
      </c>
      <c r="BC159" s="152" t="str">
        <f t="shared" si="229"/>
        <v/>
      </c>
      <c r="BD159" s="152" t="str">
        <f t="shared" si="229"/>
        <v/>
      </c>
      <c r="BE159" s="152" t="str">
        <f t="shared" si="229"/>
        <v/>
      </c>
      <c r="BF159" s="152" t="str">
        <f t="shared" si="229"/>
        <v/>
      </c>
      <c r="BG159" s="152" t="str">
        <f t="shared" si="229"/>
        <v/>
      </c>
      <c r="BH159" s="152" t="str">
        <f t="shared" si="229"/>
        <v/>
      </c>
      <c r="BI159" s="152" t="str">
        <f t="shared" si="229"/>
        <v/>
      </c>
      <c r="BJ159" s="152" t="str">
        <f t="shared" si="229"/>
        <v/>
      </c>
      <c r="BK159" s="152" t="str">
        <f t="shared" si="229"/>
        <v/>
      </c>
      <c r="BL159" s="152" t="str">
        <f t="shared" si="229"/>
        <v/>
      </c>
      <c r="BM159" s="152" t="str">
        <f t="shared" si="229"/>
        <v/>
      </c>
      <c r="BN159" s="152" t="str">
        <f t="shared" si="229"/>
        <v/>
      </c>
      <c r="BO159" s="152" t="str">
        <f t="shared" si="229"/>
        <v/>
      </c>
      <c r="BP159" s="152" t="str">
        <f t="shared" si="229"/>
        <v/>
      </c>
      <c r="BQ159" s="153" t="str">
        <f t="shared" si="229"/>
        <v/>
      </c>
      <c r="BR159" s="132" t="s">
        <v>0</v>
      </c>
    </row>
    <row r="160" spans="1:70" ht="19.5" hidden="1" customHeight="1" outlineLevel="1">
      <c r="A160" s="307"/>
      <c r="B160" s="135">
        <v>19.100000000000001</v>
      </c>
      <c r="C160" s="136"/>
      <c r="D160" s="137"/>
      <c r="E160" s="91"/>
      <c r="F160" s="91" t="s">
        <v>812</v>
      </c>
      <c r="G160" s="91"/>
      <c r="H160" s="91"/>
      <c r="I160" s="38"/>
      <c r="J160" s="102"/>
      <c r="K160" s="156"/>
      <c r="L160" s="308" t="s">
        <v>790</v>
      </c>
      <c r="M160" s="100"/>
      <c r="N160" s="22"/>
      <c r="O160" s="32">
        <f t="shared" si="222"/>
        <v>0</v>
      </c>
      <c r="P160" s="53"/>
      <c r="Q160" s="53"/>
      <c r="R160" s="22"/>
      <c r="S160" s="53"/>
      <c r="T160" s="53"/>
      <c r="U160" s="138">
        <f t="shared" ref="U160:U161" si="230">T160+S160</f>
        <v>0</v>
      </c>
      <c r="V160" s="22"/>
      <c r="W160" s="32">
        <f t="shared" si="224"/>
        <v>0</v>
      </c>
      <c r="X160" s="53"/>
      <c r="Y160" s="53"/>
      <c r="Z160" s="24"/>
      <c r="AA160" s="158"/>
      <c r="AB160" s="24"/>
      <c r="AC160" s="159"/>
      <c r="AD160" s="158" t="s">
        <v>813</v>
      </c>
      <c r="AE160" s="158"/>
      <c r="AF160" s="160"/>
      <c r="AG160" s="160"/>
      <c r="AH160" s="28"/>
      <c r="AI160" s="291" t="str">
        <f t="shared" ref="AI160:BQ160" si="231">IFERROR(IF(AND($T160&gt;=(EOMONTH(AI$8,-1)+1),$U160&lt;AJ$8,$I160="M"),"u",""),"")</f>
        <v/>
      </c>
      <c r="AJ160" s="81" t="str">
        <f t="shared" si="231"/>
        <v/>
      </c>
      <c r="AK160" s="81" t="str">
        <f t="shared" si="231"/>
        <v/>
      </c>
      <c r="AL160" s="81" t="str">
        <f t="shared" si="231"/>
        <v/>
      </c>
      <c r="AM160" s="81" t="str">
        <f t="shared" si="231"/>
        <v/>
      </c>
      <c r="AN160" s="81" t="str">
        <f t="shared" si="231"/>
        <v/>
      </c>
      <c r="AO160" s="81" t="str">
        <f t="shared" si="231"/>
        <v/>
      </c>
      <c r="AP160" s="81" t="str">
        <f t="shared" si="231"/>
        <v/>
      </c>
      <c r="AQ160" s="81" t="str">
        <f t="shared" si="231"/>
        <v/>
      </c>
      <c r="AR160" s="81" t="str">
        <f t="shared" si="231"/>
        <v/>
      </c>
      <c r="AS160" s="81" t="str">
        <f t="shared" si="231"/>
        <v/>
      </c>
      <c r="AT160" s="81" t="str">
        <f t="shared" si="231"/>
        <v/>
      </c>
      <c r="AU160" s="81" t="str">
        <f t="shared" si="231"/>
        <v/>
      </c>
      <c r="AV160" s="81" t="str">
        <f t="shared" si="231"/>
        <v/>
      </c>
      <c r="AW160" s="81" t="str">
        <f t="shared" si="231"/>
        <v/>
      </c>
      <c r="AX160" s="81" t="str">
        <f t="shared" si="231"/>
        <v/>
      </c>
      <c r="AY160" s="81" t="str">
        <f t="shared" si="231"/>
        <v/>
      </c>
      <c r="AZ160" s="81" t="str">
        <f t="shared" si="231"/>
        <v/>
      </c>
      <c r="BA160" s="81" t="str">
        <f t="shared" si="231"/>
        <v/>
      </c>
      <c r="BB160" s="81" t="str">
        <f t="shared" si="231"/>
        <v/>
      </c>
      <c r="BC160" s="81" t="str">
        <f t="shared" si="231"/>
        <v/>
      </c>
      <c r="BD160" s="81" t="str">
        <f t="shared" si="231"/>
        <v/>
      </c>
      <c r="BE160" s="81" t="str">
        <f t="shared" si="231"/>
        <v/>
      </c>
      <c r="BF160" s="81" t="str">
        <f t="shared" si="231"/>
        <v/>
      </c>
      <c r="BG160" s="81" t="str">
        <f t="shared" si="231"/>
        <v/>
      </c>
      <c r="BH160" s="81" t="str">
        <f t="shared" si="231"/>
        <v/>
      </c>
      <c r="BI160" s="81" t="str">
        <f t="shared" si="231"/>
        <v/>
      </c>
      <c r="BJ160" s="81" t="str">
        <f t="shared" si="231"/>
        <v/>
      </c>
      <c r="BK160" s="81" t="str">
        <f t="shared" si="231"/>
        <v/>
      </c>
      <c r="BL160" s="81" t="str">
        <f t="shared" si="231"/>
        <v/>
      </c>
      <c r="BM160" s="81" t="str">
        <f t="shared" si="231"/>
        <v/>
      </c>
      <c r="BN160" s="81" t="str">
        <f t="shared" si="231"/>
        <v/>
      </c>
      <c r="BO160" s="81" t="str">
        <f t="shared" si="231"/>
        <v/>
      </c>
      <c r="BP160" s="81" t="str">
        <f t="shared" si="231"/>
        <v/>
      </c>
      <c r="BQ160" s="82" t="str">
        <f t="shared" si="231"/>
        <v/>
      </c>
      <c r="BR160" s="11" t="s">
        <v>0</v>
      </c>
    </row>
    <row r="161" spans="1:70" ht="19.5" hidden="1" customHeight="1" outlineLevel="1">
      <c r="A161" s="320"/>
      <c r="B161" s="83">
        <v>19.2</v>
      </c>
      <c r="C161" s="84"/>
      <c r="D161" s="85"/>
      <c r="E161" s="35"/>
      <c r="F161" s="35" t="s">
        <v>814</v>
      </c>
      <c r="G161" s="35"/>
      <c r="H161" s="35"/>
      <c r="I161" s="38"/>
      <c r="J161" s="86"/>
      <c r="K161" s="140"/>
      <c r="L161" s="249"/>
      <c r="M161" s="32"/>
      <c r="N161" s="22"/>
      <c r="O161" s="32">
        <f t="shared" si="222"/>
        <v>0</v>
      </c>
      <c r="P161" s="53"/>
      <c r="Q161" s="53"/>
      <c r="R161" s="22"/>
      <c r="S161" s="53"/>
      <c r="T161" s="53"/>
      <c r="U161" s="138">
        <f t="shared" si="230"/>
        <v>0</v>
      </c>
      <c r="V161" s="22"/>
      <c r="W161" s="32">
        <f t="shared" si="224"/>
        <v>0</v>
      </c>
      <c r="X161" s="53"/>
      <c r="Y161" s="53"/>
      <c r="Z161" s="24"/>
      <c r="AA161" s="40"/>
      <c r="AB161" s="24"/>
      <c r="AC161" s="46"/>
      <c r="AD161" s="40"/>
      <c r="AE161" s="40"/>
      <c r="AF161" s="41"/>
      <c r="AG161" s="41"/>
      <c r="AH161" s="28"/>
      <c r="AI161" s="291" t="str">
        <f t="shared" ref="AI161:BQ161" si="232">IFERROR(IF(AND($T161&gt;=(EOMONTH(AI$8,-1)+1),$U161&lt;AJ$8,$I161="M"),"u",""),"")</f>
        <v/>
      </c>
      <c r="AJ161" s="81" t="str">
        <f t="shared" si="232"/>
        <v/>
      </c>
      <c r="AK161" s="81" t="str">
        <f t="shared" si="232"/>
        <v/>
      </c>
      <c r="AL161" s="81" t="str">
        <f t="shared" si="232"/>
        <v/>
      </c>
      <c r="AM161" s="81" t="str">
        <f t="shared" si="232"/>
        <v/>
      </c>
      <c r="AN161" s="81" t="str">
        <f t="shared" si="232"/>
        <v/>
      </c>
      <c r="AO161" s="81" t="str">
        <f t="shared" si="232"/>
        <v/>
      </c>
      <c r="AP161" s="81" t="str">
        <f t="shared" si="232"/>
        <v/>
      </c>
      <c r="AQ161" s="81" t="str">
        <f t="shared" si="232"/>
        <v/>
      </c>
      <c r="AR161" s="81" t="str">
        <f t="shared" si="232"/>
        <v/>
      </c>
      <c r="AS161" s="81" t="str">
        <f t="shared" si="232"/>
        <v/>
      </c>
      <c r="AT161" s="81" t="str">
        <f t="shared" si="232"/>
        <v/>
      </c>
      <c r="AU161" s="81" t="str">
        <f t="shared" si="232"/>
        <v/>
      </c>
      <c r="AV161" s="81" t="str">
        <f t="shared" si="232"/>
        <v/>
      </c>
      <c r="AW161" s="81" t="str">
        <f t="shared" si="232"/>
        <v/>
      </c>
      <c r="AX161" s="81" t="str">
        <f t="shared" si="232"/>
        <v/>
      </c>
      <c r="AY161" s="81" t="str">
        <f t="shared" si="232"/>
        <v/>
      </c>
      <c r="AZ161" s="81" t="str">
        <f t="shared" si="232"/>
        <v/>
      </c>
      <c r="BA161" s="81" t="str">
        <f t="shared" si="232"/>
        <v/>
      </c>
      <c r="BB161" s="81" t="str">
        <f t="shared" si="232"/>
        <v/>
      </c>
      <c r="BC161" s="81" t="str">
        <f t="shared" si="232"/>
        <v/>
      </c>
      <c r="BD161" s="81" t="str">
        <f t="shared" si="232"/>
        <v/>
      </c>
      <c r="BE161" s="81" t="str">
        <f t="shared" si="232"/>
        <v/>
      </c>
      <c r="BF161" s="81" t="str">
        <f t="shared" si="232"/>
        <v/>
      </c>
      <c r="BG161" s="81" t="str">
        <f t="shared" si="232"/>
        <v/>
      </c>
      <c r="BH161" s="81" t="str">
        <f t="shared" si="232"/>
        <v/>
      </c>
      <c r="BI161" s="81" t="str">
        <f t="shared" si="232"/>
        <v/>
      </c>
      <c r="BJ161" s="81" t="str">
        <f t="shared" si="232"/>
        <v/>
      </c>
      <c r="BK161" s="81" t="str">
        <f t="shared" si="232"/>
        <v/>
      </c>
      <c r="BL161" s="81" t="str">
        <f t="shared" si="232"/>
        <v/>
      </c>
      <c r="BM161" s="81" t="str">
        <f t="shared" si="232"/>
        <v/>
      </c>
      <c r="BN161" s="81" t="str">
        <f t="shared" si="232"/>
        <v/>
      </c>
      <c r="BO161" s="81" t="str">
        <f t="shared" si="232"/>
        <v/>
      </c>
      <c r="BP161" s="81" t="str">
        <f t="shared" si="232"/>
        <v/>
      </c>
      <c r="BQ161" s="82" t="str">
        <f t="shared" si="232"/>
        <v/>
      </c>
      <c r="BR161" s="11" t="s">
        <v>0</v>
      </c>
    </row>
    <row r="162" spans="1:70" ht="22.5" customHeight="1">
      <c r="A162" s="285"/>
      <c r="B162" s="286"/>
      <c r="C162" s="287"/>
      <c r="D162" s="288" t="s">
        <v>815</v>
      </c>
      <c r="E162" s="211"/>
      <c r="F162" s="211"/>
      <c r="G162" s="211"/>
      <c r="H162" s="211"/>
      <c r="I162" s="212"/>
      <c r="J162" s="213"/>
      <c r="K162" s="289"/>
      <c r="L162" s="215"/>
      <c r="M162" s="214"/>
      <c r="N162" s="22"/>
      <c r="O162" s="214" t="e">
        <f t="shared" si="222"/>
        <v>#REF!</v>
      </c>
      <c r="P162" s="216">
        <f>P154</f>
        <v>0</v>
      </c>
      <c r="Q162" s="290" t="e">
        <f>Q167</f>
        <v>#REF!</v>
      </c>
      <c r="R162" s="22"/>
      <c r="S162" s="216">
        <f>S154</f>
        <v>0</v>
      </c>
      <c r="T162" s="290" t="e">
        <f>T167</f>
        <v>#REF!</v>
      </c>
      <c r="U162" s="216">
        <f>MAX(U163,U167)</f>
        <v>0</v>
      </c>
      <c r="V162" s="22"/>
      <c r="W162" s="214" t="e">
        <f t="shared" si="224"/>
        <v>#REF!</v>
      </c>
      <c r="X162" s="216">
        <f>X154</f>
        <v>0</v>
      </c>
      <c r="Y162" s="290" t="e">
        <f>Y167</f>
        <v>#REF!</v>
      </c>
      <c r="Z162" s="24"/>
      <c r="AA162" s="213"/>
      <c r="AB162" s="24"/>
      <c r="AC162" s="217" t="e">
        <f>AVERAGE(AC154,AC163,AC167)</f>
        <v>#DIV/0!</v>
      </c>
      <c r="AD162" s="213"/>
      <c r="AE162" s="213"/>
      <c r="AF162" s="218"/>
      <c r="AG162" s="218"/>
      <c r="AH162" s="28"/>
      <c r="AI162" s="291" t="str">
        <f t="shared" ref="AI162:BQ162" si="233">IFERROR(IF(AND($T162&gt;=(EOMONTH(AI$8,-1)+1),$U162&lt;AJ$8,$I162="M"),"u",""),"")</f>
        <v/>
      </c>
      <c r="AJ162" s="81" t="str">
        <f t="shared" si="233"/>
        <v/>
      </c>
      <c r="AK162" s="81" t="str">
        <f t="shared" si="233"/>
        <v/>
      </c>
      <c r="AL162" s="81" t="str">
        <f t="shared" si="233"/>
        <v/>
      </c>
      <c r="AM162" s="81" t="str">
        <f t="shared" si="233"/>
        <v/>
      </c>
      <c r="AN162" s="81" t="str">
        <f t="shared" si="233"/>
        <v/>
      </c>
      <c r="AO162" s="81" t="str">
        <f t="shared" si="233"/>
        <v/>
      </c>
      <c r="AP162" s="81" t="str">
        <f t="shared" si="233"/>
        <v/>
      </c>
      <c r="AQ162" s="81" t="str">
        <f t="shared" si="233"/>
        <v/>
      </c>
      <c r="AR162" s="81" t="str">
        <f t="shared" si="233"/>
        <v/>
      </c>
      <c r="AS162" s="81" t="str">
        <f t="shared" si="233"/>
        <v/>
      </c>
      <c r="AT162" s="81" t="str">
        <f t="shared" si="233"/>
        <v/>
      </c>
      <c r="AU162" s="81" t="str">
        <f t="shared" si="233"/>
        <v/>
      </c>
      <c r="AV162" s="81" t="str">
        <f t="shared" si="233"/>
        <v/>
      </c>
      <c r="AW162" s="81" t="str">
        <f t="shared" si="233"/>
        <v/>
      </c>
      <c r="AX162" s="81" t="str">
        <f t="shared" si="233"/>
        <v/>
      </c>
      <c r="AY162" s="81" t="str">
        <f t="shared" si="233"/>
        <v/>
      </c>
      <c r="AZ162" s="81" t="str">
        <f t="shared" si="233"/>
        <v/>
      </c>
      <c r="BA162" s="81" t="str">
        <f t="shared" si="233"/>
        <v/>
      </c>
      <c r="BB162" s="81" t="str">
        <f t="shared" si="233"/>
        <v/>
      </c>
      <c r="BC162" s="81" t="str">
        <f t="shared" si="233"/>
        <v/>
      </c>
      <c r="BD162" s="81" t="str">
        <f t="shared" si="233"/>
        <v/>
      </c>
      <c r="BE162" s="81" t="str">
        <f t="shared" si="233"/>
        <v/>
      </c>
      <c r="BF162" s="81" t="str">
        <f t="shared" si="233"/>
        <v/>
      </c>
      <c r="BG162" s="81" t="str">
        <f t="shared" si="233"/>
        <v/>
      </c>
      <c r="BH162" s="81" t="str">
        <f t="shared" si="233"/>
        <v/>
      </c>
      <c r="BI162" s="81" t="str">
        <f t="shared" si="233"/>
        <v/>
      </c>
      <c r="BJ162" s="81" t="str">
        <f t="shared" si="233"/>
        <v/>
      </c>
      <c r="BK162" s="81" t="str">
        <f t="shared" si="233"/>
        <v/>
      </c>
      <c r="BL162" s="81" t="str">
        <f t="shared" si="233"/>
        <v/>
      </c>
      <c r="BM162" s="81" t="str">
        <f t="shared" si="233"/>
        <v/>
      </c>
      <c r="BN162" s="81" t="str">
        <f t="shared" si="233"/>
        <v/>
      </c>
      <c r="BO162" s="81" t="str">
        <f t="shared" si="233"/>
        <v/>
      </c>
      <c r="BP162" s="81" t="str">
        <f t="shared" si="233"/>
        <v/>
      </c>
      <c r="BQ162" s="82" t="str">
        <f t="shared" si="233"/>
        <v/>
      </c>
      <c r="BR162" s="11" t="s">
        <v>0</v>
      </c>
    </row>
    <row r="163" spans="1:70" ht="19.5" customHeight="1">
      <c r="A163" s="320">
        <v>7</v>
      </c>
      <c r="B163" s="83"/>
      <c r="C163" s="84"/>
      <c r="D163" s="85"/>
      <c r="E163" s="12" t="s">
        <v>816</v>
      </c>
      <c r="F163" s="35"/>
      <c r="G163" s="35"/>
      <c r="H163" s="35"/>
      <c r="I163" s="38"/>
      <c r="J163" s="86"/>
      <c r="K163" s="140"/>
      <c r="L163" s="249"/>
      <c r="M163" s="32"/>
      <c r="N163" s="22"/>
      <c r="O163" s="32">
        <f t="shared" si="222"/>
        <v>0</v>
      </c>
      <c r="P163" s="31">
        <f>P161</f>
        <v>0</v>
      </c>
      <c r="Q163" s="31">
        <f>Q166</f>
        <v>0</v>
      </c>
      <c r="R163" s="22"/>
      <c r="S163" s="31">
        <f>S161</f>
        <v>0</v>
      </c>
      <c r="T163" s="31">
        <f>T166</f>
        <v>0</v>
      </c>
      <c r="U163" s="31">
        <f>MIN(U166)</f>
        <v>0</v>
      </c>
      <c r="V163" s="22"/>
      <c r="W163" s="32">
        <f t="shared" si="224"/>
        <v>0</v>
      </c>
      <c r="X163" s="31">
        <f>X161</f>
        <v>0</v>
      </c>
      <c r="Y163" s="31">
        <f>Y166</f>
        <v>0</v>
      </c>
      <c r="Z163" s="24"/>
      <c r="AA163" s="40"/>
      <c r="AB163" s="24"/>
      <c r="AC163" s="46" t="e">
        <f>AVERAGE(AC161:AC166)</f>
        <v>#DIV/0!</v>
      </c>
      <c r="AD163" s="40"/>
      <c r="AE163" s="40"/>
      <c r="AF163" s="41"/>
      <c r="AG163" s="41"/>
      <c r="AH163" s="28"/>
      <c r="AI163" s="291" t="str">
        <f t="shared" ref="AI163:BQ163" si="234">IFERROR(IF(AND($T163&gt;=(EOMONTH(AI$8,-1)+1),$U163&lt;AJ$8,$I163="M"),"u",""),"")</f>
        <v/>
      </c>
      <c r="AJ163" s="81" t="str">
        <f t="shared" si="234"/>
        <v/>
      </c>
      <c r="AK163" s="81" t="str">
        <f t="shared" si="234"/>
        <v/>
      </c>
      <c r="AL163" s="81" t="str">
        <f t="shared" si="234"/>
        <v/>
      </c>
      <c r="AM163" s="81" t="str">
        <f t="shared" si="234"/>
        <v/>
      </c>
      <c r="AN163" s="81" t="str">
        <f t="shared" si="234"/>
        <v/>
      </c>
      <c r="AO163" s="81" t="str">
        <f t="shared" si="234"/>
        <v/>
      </c>
      <c r="AP163" s="81" t="str">
        <f t="shared" si="234"/>
        <v/>
      </c>
      <c r="AQ163" s="81" t="str">
        <f t="shared" si="234"/>
        <v/>
      </c>
      <c r="AR163" s="81" t="str">
        <f t="shared" si="234"/>
        <v/>
      </c>
      <c r="AS163" s="81" t="str">
        <f t="shared" si="234"/>
        <v/>
      </c>
      <c r="AT163" s="81" t="str">
        <f t="shared" si="234"/>
        <v/>
      </c>
      <c r="AU163" s="81" t="str">
        <f t="shared" si="234"/>
        <v/>
      </c>
      <c r="AV163" s="81" t="str">
        <f t="shared" si="234"/>
        <v/>
      </c>
      <c r="AW163" s="81" t="str">
        <f t="shared" si="234"/>
        <v/>
      </c>
      <c r="AX163" s="81" t="str">
        <f t="shared" si="234"/>
        <v/>
      </c>
      <c r="AY163" s="81" t="str">
        <f t="shared" si="234"/>
        <v/>
      </c>
      <c r="AZ163" s="81" t="str">
        <f t="shared" si="234"/>
        <v/>
      </c>
      <c r="BA163" s="81" t="str">
        <f t="shared" si="234"/>
        <v/>
      </c>
      <c r="BB163" s="81" t="str">
        <f t="shared" si="234"/>
        <v/>
      </c>
      <c r="BC163" s="81" t="str">
        <f t="shared" si="234"/>
        <v/>
      </c>
      <c r="BD163" s="81" t="str">
        <f t="shared" si="234"/>
        <v/>
      </c>
      <c r="BE163" s="81" t="str">
        <f t="shared" si="234"/>
        <v/>
      </c>
      <c r="BF163" s="81" t="str">
        <f t="shared" si="234"/>
        <v/>
      </c>
      <c r="BG163" s="81" t="str">
        <f t="shared" si="234"/>
        <v/>
      </c>
      <c r="BH163" s="81" t="str">
        <f t="shared" si="234"/>
        <v/>
      </c>
      <c r="BI163" s="81" t="str">
        <f t="shared" si="234"/>
        <v/>
      </c>
      <c r="BJ163" s="81" t="str">
        <f t="shared" si="234"/>
        <v/>
      </c>
      <c r="BK163" s="81" t="str">
        <f t="shared" si="234"/>
        <v/>
      </c>
      <c r="BL163" s="81" t="str">
        <f t="shared" si="234"/>
        <v/>
      </c>
      <c r="BM163" s="81" t="str">
        <f t="shared" si="234"/>
        <v/>
      </c>
      <c r="BN163" s="81" t="str">
        <f t="shared" si="234"/>
        <v/>
      </c>
      <c r="BO163" s="81" t="str">
        <f t="shared" si="234"/>
        <v/>
      </c>
      <c r="BP163" s="81" t="str">
        <f t="shared" si="234"/>
        <v/>
      </c>
      <c r="BQ163" s="82" t="str">
        <f t="shared" si="234"/>
        <v/>
      </c>
      <c r="BR163" s="11" t="s">
        <v>0</v>
      </c>
    </row>
    <row r="164" spans="1:70" ht="19.5" customHeight="1" outlineLevel="1">
      <c r="A164" s="320"/>
      <c r="B164" s="83">
        <v>7.1</v>
      </c>
      <c r="C164" s="84"/>
      <c r="D164" s="85"/>
      <c r="E164" s="12"/>
      <c r="F164" s="35" t="s">
        <v>817</v>
      </c>
      <c r="G164" s="35"/>
      <c r="H164" s="35"/>
      <c r="I164" s="38"/>
      <c r="J164" s="86"/>
      <c r="K164" s="140"/>
      <c r="L164" s="249"/>
      <c r="M164" s="32"/>
      <c r="N164" s="22"/>
      <c r="O164" s="32"/>
      <c r="P164" s="31"/>
      <c r="Q164" s="31"/>
      <c r="R164" s="22"/>
      <c r="S164" s="31"/>
      <c r="T164" s="31"/>
      <c r="U164" s="31"/>
      <c r="V164" s="22"/>
      <c r="W164" s="32"/>
      <c r="X164" s="31"/>
      <c r="Y164" s="31"/>
      <c r="Z164" s="24"/>
      <c r="AA164" s="40"/>
      <c r="AB164" s="24"/>
      <c r="AC164" s="46"/>
      <c r="AD164" s="40"/>
      <c r="AE164" s="40"/>
      <c r="AF164" s="41"/>
      <c r="AG164" s="41"/>
      <c r="AH164" s="28"/>
      <c r="AI164" s="291" t="str">
        <f t="shared" ref="AI164:BQ164" si="235">IFERROR(IF(AND($T164&gt;=(EOMONTH(AI$8,-1)+1),$U164&lt;AJ$8,$I164="M"),"u",""),"")</f>
        <v/>
      </c>
      <c r="AJ164" s="81" t="str">
        <f t="shared" si="235"/>
        <v/>
      </c>
      <c r="AK164" s="81" t="str">
        <f t="shared" si="235"/>
        <v/>
      </c>
      <c r="AL164" s="81" t="str">
        <f t="shared" si="235"/>
        <v/>
      </c>
      <c r="AM164" s="81" t="str">
        <f t="shared" si="235"/>
        <v/>
      </c>
      <c r="AN164" s="81" t="str">
        <f t="shared" si="235"/>
        <v/>
      </c>
      <c r="AO164" s="81" t="str">
        <f t="shared" si="235"/>
        <v/>
      </c>
      <c r="AP164" s="81" t="str">
        <f t="shared" si="235"/>
        <v/>
      </c>
      <c r="AQ164" s="81" t="str">
        <f t="shared" si="235"/>
        <v/>
      </c>
      <c r="AR164" s="81" t="str">
        <f t="shared" si="235"/>
        <v/>
      </c>
      <c r="AS164" s="81" t="str">
        <f t="shared" si="235"/>
        <v/>
      </c>
      <c r="AT164" s="81" t="str">
        <f t="shared" si="235"/>
        <v/>
      </c>
      <c r="AU164" s="81" t="str">
        <f t="shared" si="235"/>
        <v/>
      </c>
      <c r="AV164" s="81" t="str">
        <f t="shared" si="235"/>
        <v/>
      </c>
      <c r="AW164" s="81" t="str">
        <f t="shared" si="235"/>
        <v/>
      </c>
      <c r="AX164" s="81" t="str">
        <f t="shared" si="235"/>
        <v/>
      </c>
      <c r="AY164" s="81" t="str">
        <f t="shared" si="235"/>
        <v/>
      </c>
      <c r="AZ164" s="81" t="str">
        <f t="shared" si="235"/>
        <v/>
      </c>
      <c r="BA164" s="81" t="str">
        <f t="shared" si="235"/>
        <v/>
      </c>
      <c r="BB164" s="81" t="str">
        <f t="shared" si="235"/>
        <v/>
      </c>
      <c r="BC164" s="81" t="str">
        <f t="shared" si="235"/>
        <v/>
      </c>
      <c r="BD164" s="81" t="str">
        <f t="shared" si="235"/>
        <v/>
      </c>
      <c r="BE164" s="81" t="str">
        <f t="shared" si="235"/>
        <v/>
      </c>
      <c r="BF164" s="81" t="str">
        <f t="shared" si="235"/>
        <v/>
      </c>
      <c r="BG164" s="81" t="str">
        <f t="shared" si="235"/>
        <v/>
      </c>
      <c r="BH164" s="81" t="str">
        <f t="shared" si="235"/>
        <v/>
      </c>
      <c r="BI164" s="81" t="str">
        <f t="shared" si="235"/>
        <v/>
      </c>
      <c r="BJ164" s="81" t="str">
        <f t="shared" si="235"/>
        <v/>
      </c>
      <c r="BK164" s="81" t="str">
        <f t="shared" si="235"/>
        <v/>
      </c>
      <c r="BL164" s="81" t="str">
        <f t="shared" si="235"/>
        <v/>
      </c>
      <c r="BM164" s="81" t="str">
        <f t="shared" si="235"/>
        <v/>
      </c>
      <c r="BN164" s="81" t="str">
        <f t="shared" si="235"/>
        <v/>
      </c>
      <c r="BO164" s="81" t="str">
        <f t="shared" si="235"/>
        <v/>
      </c>
      <c r="BP164" s="81" t="str">
        <f t="shared" si="235"/>
        <v/>
      </c>
      <c r="BQ164" s="82" t="str">
        <f t="shared" si="235"/>
        <v/>
      </c>
      <c r="BR164" s="11"/>
    </row>
    <row r="165" spans="1:70" ht="19.5" customHeight="1" outlineLevel="1">
      <c r="A165" s="320"/>
      <c r="B165" s="83">
        <v>7.2</v>
      </c>
      <c r="C165" s="84"/>
      <c r="D165" s="85"/>
      <c r="E165" s="35"/>
      <c r="F165" s="35" t="s">
        <v>818</v>
      </c>
      <c r="G165" s="35"/>
      <c r="H165" s="35"/>
      <c r="I165" s="38"/>
      <c r="J165" s="86"/>
      <c r="K165" s="140"/>
      <c r="L165" s="249"/>
      <c r="M165" s="32"/>
      <c r="N165" s="22"/>
      <c r="O165" s="32">
        <f t="shared" ref="O165:O167" si="236">NETWORKDAYS(P165,Q165)</f>
        <v>0</v>
      </c>
      <c r="P165" s="53"/>
      <c r="Q165" s="53"/>
      <c r="R165" s="22"/>
      <c r="S165" s="53"/>
      <c r="T165" s="53"/>
      <c r="U165" s="138">
        <f t="shared" ref="U165:U166" si="237">T165+S165</f>
        <v>0</v>
      </c>
      <c r="V165" s="22"/>
      <c r="W165" s="32">
        <f t="shared" ref="W165:W167" si="238">NETWORKDAYS(X165,Y165)</f>
        <v>0</v>
      </c>
      <c r="X165" s="53"/>
      <c r="Y165" s="53"/>
      <c r="Z165" s="24"/>
      <c r="AA165" s="40"/>
      <c r="AB165" s="24"/>
      <c r="AC165" s="46"/>
      <c r="AD165" s="40" t="s">
        <v>819</v>
      </c>
      <c r="AE165" s="40"/>
      <c r="AF165" s="41"/>
      <c r="AG165" s="41"/>
      <c r="AH165" s="28"/>
      <c r="AI165" s="291" t="str">
        <f t="shared" ref="AI165:BQ165" si="239">IFERROR(IF(AND($T165&gt;=(EOMONTH(AI$8,-1)+1),$U165&lt;AJ$8,$I165="M"),"u",""),"")</f>
        <v/>
      </c>
      <c r="AJ165" s="81" t="str">
        <f t="shared" si="239"/>
        <v/>
      </c>
      <c r="AK165" s="81" t="str">
        <f t="shared" si="239"/>
        <v/>
      </c>
      <c r="AL165" s="81" t="str">
        <f t="shared" si="239"/>
        <v/>
      </c>
      <c r="AM165" s="81" t="str">
        <f t="shared" si="239"/>
        <v/>
      </c>
      <c r="AN165" s="81" t="str">
        <f t="shared" si="239"/>
        <v/>
      </c>
      <c r="AO165" s="81" t="str">
        <f t="shared" si="239"/>
        <v/>
      </c>
      <c r="AP165" s="81" t="str">
        <f t="shared" si="239"/>
        <v/>
      </c>
      <c r="AQ165" s="81" t="str">
        <f t="shared" si="239"/>
        <v/>
      </c>
      <c r="AR165" s="81" t="str">
        <f t="shared" si="239"/>
        <v/>
      </c>
      <c r="AS165" s="81" t="str">
        <f t="shared" si="239"/>
        <v/>
      </c>
      <c r="AT165" s="81" t="str">
        <f t="shared" si="239"/>
        <v/>
      </c>
      <c r="AU165" s="81" t="str">
        <f t="shared" si="239"/>
        <v/>
      </c>
      <c r="AV165" s="81" t="str">
        <f t="shared" si="239"/>
        <v/>
      </c>
      <c r="AW165" s="81" t="str">
        <f t="shared" si="239"/>
        <v/>
      </c>
      <c r="AX165" s="81" t="str">
        <f t="shared" si="239"/>
        <v/>
      </c>
      <c r="AY165" s="81" t="str">
        <f t="shared" si="239"/>
        <v/>
      </c>
      <c r="AZ165" s="81" t="str">
        <f t="shared" si="239"/>
        <v/>
      </c>
      <c r="BA165" s="81" t="str">
        <f t="shared" si="239"/>
        <v/>
      </c>
      <c r="BB165" s="81" t="str">
        <f t="shared" si="239"/>
        <v/>
      </c>
      <c r="BC165" s="81" t="str">
        <f t="shared" si="239"/>
        <v/>
      </c>
      <c r="BD165" s="81" t="str">
        <f t="shared" si="239"/>
        <v/>
      </c>
      <c r="BE165" s="81" t="str">
        <f t="shared" si="239"/>
        <v/>
      </c>
      <c r="BF165" s="81" t="str">
        <f t="shared" si="239"/>
        <v/>
      </c>
      <c r="BG165" s="81" t="str">
        <f t="shared" si="239"/>
        <v/>
      </c>
      <c r="BH165" s="81" t="str">
        <f t="shared" si="239"/>
        <v/>
      </c>
      <c r="BI165" s="81" t="str">
        <f t="shared" si="239"/>
        <v/>
      </c>
      <c r="BJ165" s="81" t="str">
        <f t="shared" si="239"/>
        <v/>
      </c>
      <c r="BK165" s="81" t="str">
        <f t="shared" si="239"/>
        <v/>
      </c>
      <c r="BL165" s="81" t="str">
        <f t="shared" si="239"/>
        <v/>
      </c>
      <c r="BM165" s="81" t="str">
        <f t="shared" si="239"/>
        <v/>
      </c>
      <c r="BN165" s="81" t="str">
        <f t="shared" si="239"/>
        <v/>
      </c>
      <c r="BO165" s="81" t="str">
        <f t="shared" si="239"/>
        <v/>
      </c>
      <c r="BP165" s="81" t="str">
        <f t="shared" si="239"/>
        <v/>
      </c>
      <c r="BQ165" s="82" t="str">
        <f t="shared" si="239"/>
        <v/>
      </c>
      <c r="BR165" s="11" t="s">
        <v>0</v>
      </c>
    </row>
    <row r="166" spans="1:70" ht="19.5" customHeight="1" outlineLevel="1">
      <c r="A166" s="320"/>
      <c r="B166" s="83">
        <v>7.3</v>
      </c>
      <c r="C166" s="84"/>
      <c r="D166" s="85"/>
      <c r="E166" s="35"/>
      <c r="F166" s="35" t="s">
        <v>820</v>
      </c>
      <c r="G166" s="35"/>
      <c r="H166" s="35"/>
      <c r="I166" s="38"/>
      <c r="J166" s="86" t="s">
        <v>821</v>
      </c>
      <c r="K166" s="140"/>
      <c r="L166" s="249"/>
      <c r="M166" s="32"/>
      <c r="N166" s="22"/>
      <c r="O166" s="32">
        <f t="shared" si="236"/>
        <v>0</v>
      </c>
      <c r="P166" s="53"/>
      <c r="Q166" s="53"/>
      <c r="R166" s="22"/>
      <c r="S166" s="53"/>
      <c r="T166" s="53"/>
      <c r="U166" s="138">
        <f t="shared" si="237"/>
        <v>0</v>
      </c>
      <c r="V166" s="22"/>
      <c r="W166" s="32">
        <f t="shared" si="238"/>
        <v>0</v>
      </c>
      <c r="X166" s="53"/>
      <c r="Y166" s="53"/>
      <c r="Z166" s="24"/>
      <c r="AA166" s="40"/>
      <c r="AB166" s="24"/>
      <c r="AC166" s="46"/>
      <c r="AD166" s="40" t="s">
        <v>813</v>
      </c>
      <c r="AE166" s="40"/>
      <c r="AF166" s="41"/>
      <c r="AG166" s="41"/>
      <c r="AH166" s="28"/>
      <c r="AI166" s="291" t="str">
        <f t="shared" ref="AI166:BQ166" si="240">IFERROR(IF(AND($T166&gt;=(EOMONTH(AI$8,-1)+1),$U166&lt;AJ$8,$I166="M"),"u",""),"")</f>
        <v/>
      </c>
      <c r="AJ166" s="81" t="str">
        <f t="shared" si="240"/>
        <v/>
      </c>
      <c r="AK166" s="81" t="str">
        <f t="shared" si="240"/>
        <v/>
      </c>
      <c r="AL166" s="81" t="str">
        <f t="shared" si="240"/>
        <v/>
      </c>
      <c r="AM166" s="81" t="str">
        <f t="shared" si="240"/>
        <v/>
      </c>
      <c r="AN166" s="81" t="str">
        <f t="shared" si="240"/>
        <v/>
      </c>
      <c r="AO166" s="81" t="str">
        <f t="shared" si="240"/>
        <v/>
      </c>
      <c r="AP166" s="81" t="str">
        <f t="shared" si="240"/>
        <v/>
      </c>
      <c r="AQ166" s="81" t="str">
        <f t="shared" si="240"/>
        <v/>
      </c>
      <c r="AR166" s="81" t="str">
        <f t="shared" si="240"/>
        <v/>
      </c>
      <c r="AS166" s="81" t="str">
        <f t="shared" si="240"/>
        <v/>
      </c>
      <c r="AT166" s="81" t="str">
        <f t="shared" si="240"/>
        <v/>
      </c>
      <c r="AU166" s="81" t="str">
        <f t="shared" si="240"/>
        <v/>
      </c>
      <c r="AV166" s="81" t="str">
        <f t="shared" si="240"/>
        <v/>
      </c>
      <c r="AW166" s="81" t="str">
        <f t="shared" si="240"/>
        <v/>
      </c>
      <c r="AX166" s="81" t="str">
        <f t="shared" si="240"/>
        <v/>
      </c>
      <c r="AY166" s="81" t="str">
        <f t="shared" si="240"/>
        <v/>
      </c>
      <c r="AZ166" s="81" t="str">
        <f t="shared" si="240"/>
        <v/>
      </c>
      <c r="BA166" s="81" t="str">
        <f t="shared" si="240"/>
        <v/>
      </c>
      <c r="BB166" s="81" t="str">
        <f t="shared" si="240"/>
        <v/>
      </c>
      <c r="BC166" s="81" t="str">
        <f t="shared" si="240"/>
        <v/>
      </c>
      <c r="BD166" s="81" t="str">
        <f t="shared" si="240"/>
        <v/>
      </c>
      <c r="BE166" s="81" t="str">
        <f t="shared" si="240"/>
        <v/>
      </c>
      <c r="BF166" s="81" t="str">
        <f t="shared" si="240"/>
        <v/>
      </c>
      <c r="BG166" s="81" t="str">
        <f t="shared" si="240"/>
        <v/>
      </c>
      <c r="BH166" s="81" t="str">
        <f t="shared" si="240"/>
        <v/>
      </c>
      <c r="BI166" s="81" t="str">
        <f t="shared" si="240"/>
        <v/>
      </c>
      <c r="BJ166" s="81" t="str">
        <f t="shared" si="240"/>
        <v/>
      </c>
      <c r="BK166" s="81" t="str">
        <f t="shared" si="240"/>
        <v/>
      </c>
      <c r="BL166" s="81" t="str">
        <f t="shared" si="240"/>
        <v/>
      </c>
      <c r="BM166" s="81" t="str">
        <f t="shared" si="240"/>
        <v/>
      </c>
      <c r="BN166" s="81" t="str">
        <f t="shared" si="240"/>
        <v/>
      </c>
      <c r="BO166" s="81" t="str">
        <f t="shared" si="240"/>
        <v/>
      </c>
      <c r="BP166" s="81" t="str">
        <f t="shared" si="240"/>
        <v/>
      </c>
      <c r="BQ166" s="82" t="str">
        <f t="shared" si="240"/>
        <v/>
      </c>
      <c r="BR166" s="11" t="s">
        <v>0</v>
      </c>
    </row>
    <row r="167" spans="1:70" ht="19.5" customHeight="1">
      <c r="A167" s="320">
        <v>8</v>
      </c>
      <c r="B167" s="83"/>
      <c r="C167" s="84"/>
      <c r="D167" s="85"/>
      <c r="E167" s="12" t="s">
        <v>822</v>
      </c>
      <c r="F167" s="35"/>
      <c r="G167" s="35"/>
      <c r="H167" s="35"/>
      <c r="I167" s="38"/>
      <c r="J167" s="86"/>
      <c r="K167" s="140"/>
      <c r="L167" s="249"/>
      <c r="M167" s="32"/>
      <c r="N167" s="22"/>
      <c r="O167" s="32" t="e">
        <f t="shared" si="236"/>
        <v>#REF!</v>
      </c>
      <c r="P167" s="31">
        <f>P169</f>
        <v>0</v>
      </c>
      <c r="Q167" s="31" t="e">
        <f>#REF!</f>
        <v>#REF!</v>
      </c>
      <c r="R167" s="22"/>
      <c r="S167" s="31">
        <f>S169</f>
        <v>0</v>
      </c>
      <c r="T167" s="31" t="e">
        <f>#REF!</f>
        <v>#REF!</v>
      </c>
      <c r="U167" s="31">
        <f>MAX(U169:U172)</f>
        <v>0</v>
      </c>
      <c r="V167" s="22"/>
      <c r="W167" s="32" t="e">
        <f t="shared" si="238"/>
        <v>#REF!</v>
      </c>
      <c r="X167" s="31">
        <f>X169</f>
        <v>0</v>
      </c>
      <c r="Y167" s="31" t="e">
        <f>#REF!</f>
        <v>#REF!</v>
      </c>
      <c r="Z167" s="24"/>
      <c r="AA167" s="40"/>
      <c r="AB167" s="24"/>
      <c r="AC167" s="46" t="e">
        <f>AVERAGE(AC169:AC172)</f>
        <v>#DIV/0!</v>
      </c>
      <c r="AD167" s="40"/>
      <c r="AE167" s="40"/>
      <c r="AF167" s="41"/>
      <c r="AG167" s="41"/>
      <c r="AH167" s="28"/>
      <c r="AI167" s="291" t="str">
        <f t="shared" ref="AI167:BQ167" si="241">IFERROR(IF(AND($T167&gt;=(EOMONTH(AI$8,-1)+1),$U167&lt;AJ$8,$I167="M"),"u",""),"")</f>
        <v/>
      </c>
      <c r="AJ167" s="81" t="str">
        <f t="shared" si="241"/>
        <v/>
      </c>
      <c r="AK167" s="81" t="str">
        <f t="shared" si="241"/>
        <v/>
      </c>
      <c r="AL167" s="81" t="str">
        <f t="shared" si="241"/>
        <v/>
      </c>
      <c r="AM167" s="81" t="str">
        <f t="shared" si="241"/>
        <v/>
      </c>
      <c r="AN167" s="81" t="str">
        <f t="shared" si="241"/>
        <v/>
      </c>
      <c r="AO167" s="81" t="str">
        <f t="shared" si="241"/>
        <v/>
      </c>
      <c r="AP167" s="81" t="str">
        <f t="shared" si="241"/>
        <v/>
      </c>
      <c r="AQ167" s="81" t="str">
        <f t="shared" si="241"/>
        <v/>
      </c>
      <c r="AR167" s="81" t="str">
        <f t="shared" si="241"/>
        <v/>
      </c>
      <c r="AS167" s="81" t="str">
        <f t="shared" si="241"/>
        <v/>
      </c>
      <c r="AT167" s="81" t="str">
        <f t="shared" si="241"/>
        <v/>
      </c>
      <c r="AU167" s="81" t="str">
        <f t="shared" si="241"/>
        <v/>
      </c>
      <c r="AV167" s="81" t="str">
        <f t="shared" si="241"/>
        <v/>
      </c>
      <c r="AW167" s="81" t="str">
        <f t="shared" si="241"/>
        <v/>
      </c>
      <c r="AX167" s="81" t="str">
        <f t="shared" si="241"/>
        <v/>
      </c>
      <c r="AY167" s="81" t="str">
        <f t="shared" si="241"/>
        <v/>
      </c>
      <c r="AZ167" s="81" t="str">
        <f t="shared" si="241"/>
        <v/>
      </c>
      <c r="BA167" s="81" t="str">
        <f t="shared" si="241"/>
        <v/>
      </c>
      <c r="BB167" s="81" t="str">
        <f t="shared" si="241"/>
        <v/>
      </c>
      <c r="BC167" s="81" t="str">
        <f t="shared" si="241"/>
        <v/>
      </c>
      <c r="BD167" s="81" t="str">
        <f t="shared" si="241"/>
        <v/>
      </c>
      <c r="BE167" s="81" t="str">
        <f t="shared" si="241"/>
        <v/>
      </c>
      <c r="BF167" s="81" t="str">
        <f t="shared" si="241"/>
        <v/>
      </c>
      <c r="BG167" s="81" t="str">
        <f t="shared" si="241"/>
        <v/>
      </c>
      <c r="BH167" s="81" t="str">
        <f t="shared" si="241"/>
        <v/>
      </c>
      <c r="BI167" s="81" t="str">
        <f t="shared" si="241"/>
        <v/>
      </c>
      <c r="BJ167" s="81" t="str">
        <f t="shared" si="241"/>
        <v/>
      </c>
      <c r="BK167" s="81" t="str">
        <f t="shared" si="241"/>
        <v/>
      </c>
      <c r="BL167" s="81" t="str">
        <f t="shared" si="241"/>
        <v/>
      </c>
      <c r="BM167" s="81" t="str">
        <f t="shared" si="241"/>
        <v/>
      </c>
      <c r="BN167" s="81" t="str">
        <f t="shared" si="241"/>
        <v/>
      </c>
      <c r="BO167" s="81" t="str">
        <f t="shared" si="241"/>
        <v/>
      </c>
      <c r="BP167" s="81" t="str">
        <f t="shared" si="241"/>
        <v/>
      </c>
      <c r="BQ167" s="82" t="str">
        <f t="shared" si="241"/>
        <v/>
      </c>
      <c r="BR167" s="11" t="s">
        <v>0</v>
      </c>
    </row>
    <row r="168" spans="1:70" ht="19.5" customHeight="1" outlineLevel="1">
      <c r="A168" s="320"/>
      <c r="B168" s="83">
        <v>8.1</v>
      </c>
      <c r="C168" s="84"/>
      <c r="D168" s="85"/>
      <c r="E168" s="12"/>
      <c r="F168" s="35" t="s">
        <v>823</v>
      </c>
      <c r="G168" s="35"/>
      <c r="H168" s="35"/>
      <c r="I168" s="38"/>
      <c r="J168" s="86"/>
      <c r="K168" s="140"/>
      <c r="L168" s="249"/>
      <c r="M168" s="32"/>
      <c r="N168" s="22"/>
      <c r="O168" s="32"/>
      <c r="P168" s="31"/>
      <c r="Q168" s="31"/>
      <c r="R168" s="22"/>
      <c r="S168" s="31"/>
      <c r="T168" s="31"/>
      <c r="U168" s="31"/>
      <c r="V168" s="22"/>
      <c r="W168" s="32"/>
      <c r="X168" s="31"/>
      <c r="Y168" s="31"/>
      <c r="Z168" s="24"/>
      <c r="AA168" s="40"/>
      <c r="AB168" s="24"/>
      <c r="AC168" s="46"/>
      <c r="AD168" s="40"/>
      <c r="AE168" s="40"/>
      <c r="AF168" s="41"/>
      <c r="AG168" s="41"/>
      <c r="AH168" s="28"/>
      <c r="AI168" s="291" t="str">
        <f t="shared" ref="AI168:BQ168" si="242">IFERROR(IF(AND($T168&gt;=(EOMONTH(AI$8,-1)+1),$U168&lt;AJ$8,$I168="M"),"u",""),"")</f>
        <v/>
      </c>
      <c r="AJ168" s="81" t="str">
        <f t="shared" si="242"/>
        <v/>
      </c>
      <c r="AK168" s="81" t="str">
        <f t="shared" si="242"/>
        <v/>
      </c>
      <c r="AL168" s="81" t="str">
        <f t="shared" si="242"/>
        <v/>
      </c>
      <c r="AM168" s="81" t="str">
        <f t="shared" si="242"/>
        <v/>
      </c>
      <c r="AN168" s="81" t="str">
        <f t="shared" si="242"/>
        <v/>
      </c>
      <c r="AO168" s="81" t="str">
        <f t="shared" si="242"/>
        <v/>
      </c>
      <c r="AP168" s="81" t="str">
        <f t="shared" si="242"/>
        <v/>
      </c>
      <c r="AQ168" s="81" t="str">
        <f t="shared" si="242"/>
        <v/>
      </c>
      <c r="AR168" s="81" t="str">
        <f t="shared" si="242"/>
        <v/>
      </c>
      <c r="AS168" s="81" t="str">
        <f t="shared" si="242"/>
        <v/>
      </c>
      <c r="AT168" s="81" t="str">
        <f t="shared" si="242"/>
        <v/>
      </c>
      <c r="AU168" s="81" t="str">
        <f t="shared" si="242"/>
        <v/>
      </c>
      <c r="AV168" s="81" t="str">
        <f t="shared" si="242"/>
        <v/>
      </c>
      <c r="AW168" s="81" t="str">
        <f t="shared" si="242"/>
        <v/>
      </c>
      <c r="AX168" s="81" t="str">
        <f t="shared" si="242"/>
        <v/>
      </c>
      <c r="AY168" s="81" t="str">
        <f t="shared" si="242"/>
        <v/>
      </c>
      <c r="AZ168" s="81" t="str">
        <f t="shared" si="242"/>
        <v/>
      </c>
      <c r="BA168" s="81" t="str">
        <f t="shared" si="242"/>
        <v/>
      </c>
      <c r="BB168" s="81" t="str">
        <f t="shared" si="242"/>
        <v/>
      </c>
      <c r="BC168" s="81" t="str">
        <f t="shared" si="242"/>
        <v/>
      </c>
      <c r="BD168" s="81" t="str">
        <f t="shared" si="242"/>
        <v/>
      </c>
      <c r="BE168" s="81" t="str">
        <f t="shared" si="242"/>
        <v/>
      </c>
      <c r="BF168" s="81" t="str">
        <f t="shared" si="242"/>
        <v/>
      </c>
      <c r="BG168" s="81" t="str">
        <f t="shared" si="242"/>
        <v/>
      </c>
      <c r="BH168" s="81" t="str">
        <f t="shared" si="242"/>
        <v/>
      </c>
      <c r="BI168" s="81" t="str">
        <f t="shared" si="242"/>
        <v/>
      </c>
      <c r="BJ168" s="81" t="str">
        <f t="shared" si="242"/>
        <v/>
      </c>
      <c r="BK168" s="81" t="str">
        <f t="shared" si="242"/>
        <v/>
      </c>
      <c r="BL168" s="81" t="str">
        <f t="shared" si="242"/>
        <v/>
      </c>
      <c r="BM168" s="81" t="str">
        <f t="shared" si="242"/>
        <v/>
      </c>
      <c r="BN168" s="81" t="str">
        <f t="shared" si="242"/>
        <v/>
      </c>
      <c r="BO168" s="81" t="str">
        <f t="shared" si="242"/>
        <v/>
      </c>
      <c r="BP168" s="81" t="str">
        <f t="shared" si="242"/>
        <v/>
      </c>
      <c r="BQ168" s="82" t="str">
        <f t="shared" si="242"/>
        <v/>
      </c>
      <c r="BR168" s="11"/>
    </row>
    <row r="169" spans="1:70" ht="19.5" customHeight="1" outlineLevel="1">
      <c r="A169" s="307"/>
      <c r="B169" s="83">
        <v>8.1999999999999993</v>
      </c>
      <c r="C169" s="84"/>
      <c r="D169" s="85"/>
      <c r="E169" s="35"/>
      <c r="F169" s="35" t="s">
        <v>824</v>
      </c>
      <c r="G169" s="35"/>
      <c r="H169" s="35"/>
      <c r="I169" s="38"/>
      <c r="J169" s="40"/>
      <c r="K169" s="140"/>
      <c r="L169" s="249"/>
      <c r="M169" s="32"/>
      <c r="N169" s="22"/>
      <c r="O169" s="32">
        <f t="shared" ref="O169:O172" si="243">NETWORKDAYS(P169,Q169)</f>
        <v>0</v>
      </c>
      <c r="P169" s="53"/>
      <c r="Q169" s="53"/>
      <c r="R169" s="22"/>
      <c r="S169" s="53"/>
      <c r="T169" s="53"/>
      <c r="U169" s="138">
        <f t="shared" ref="U169:U172" si="244">T169+S169</f>
        <v>0</v>
      </c>
      <c r="V169" s="22"/>
      <c r="W169" s="32">
        <f t="shared" ref="W169:W172" si="245">NETWORKDAYS(X169,Y169)</f>
        <v>0</v>
      </c>
      <c r="X169" s="53"/>
      <c r="Y169" s="53"/>
      <c r="Z169" s="24"/>
      <c r="AA169" s="40"/>
      <c r="AB169" s="24"/>
      <c r="AC169" s="46"/>
      <c r="AD169" s="40" t="s">
        <v>825</v>
      </c>
      <c r="AE169" s="40"/>
      <c r="AF169" s="41"/>
      <c r="AG169" s="41"/>
      <c r="AH169" s="28"/>
      <c r="AI169" s="291" t="str">
        <f t="shared" ref="AI169:BQ169" si="246">IFERROR(IF(AND($T169&gt;=(EOMONTH(AI$8,-1)+1),$U169&lt;AJ$8,$I169="M"),"u",""),"")</f>
        <v/>
      </c>
      <c r="AJ169" s="81" t="str">
        <f t="shared" si="246"/>
        <v/>
      </c>
      <c r="AK169" s="81" t="str">
        <f t="shared" si="246"/>
        <v/>
      </c>
      <c r="AL169" s="81" t="str">
        <f t="shared" si="246"/>
        <v/>
      </c>
      <c r="AM169" s="81" t="str">
        <f t="shared" si="246"/>
        <v/>
      </c>
      <c r="AN169" s="81" t="str">
        <f t="shared" si="246"/>
        <v/>
      </c>
      <c r="AO169" s="81" t="str">
        <f t="shared" si="246"/>
        <v/>
      </c>
      <c r="AP169" s="81" t="str">
        <f t="shared" si="246"/>
        <v/>
      </c>
      <c r="AQ169" s="81" t="str">
        <f t="shared" si="246"/>
        <v/>
      </c>
      <c r="AR169" s="81" t="str">
        <f t="shared" si="246"/>
        <v/>
      </c>
      <c r="AS169" s="81" t="str">
        <f t="shared" si="246"/>
        <v/>
      </c>
      <c r="AT169" s="81" t="str">
        <f t="shared" si="246"/>
        <v/>
      </c>
      <c r="AU169" s="81" t="str">
        <f t="shared" si="246"/>
        <v/>
      </c>
      <c r="AV169" s="81" t="str">
        <f t="shared" si="246"/>
        <v/>
      </c>
      <c r="AW169" s="81" t="str">
        <f t="shared" si="246"/>
        <v/>
      </c>
      <c r="AX169" s="81" t="str">
        <f t="shared" si="246"/>
        <v/>
      </c>
      <c r="AY169" s="81" t="str">
        <f t="shared" si="246"/>
        <v/>
      </c>
      <c r="AZ169" s="81" t="str">
        <f t="shared" si="246"/>
        <v/>
      </c>
      <c r="BA169" s="81" t="str">
        <f t="shared" si="246"/>
        <v/>
      </c>
      <c r="BB169" s="81" t="str">
        <f t="shared" si="246"/>
        <v/>
      </c>
      <c r="BC169" s="81" t="str">
        <f t="shared" si="246"/>
        <v/>
      </c>
      <c r="BD169" s="81" t="str">
        <f t="shared" si="246"/>
        <v/>
      </c>
      <c r="BE169" s="81" t="str">
        <f t="shared" si="246"/>
        <v/>
      </c>
      <c r="BF169" s="81" t="str">
        <f t="shared" si="246"/>
        <v/>
      </c>
      <c r="BG169" s="81" t="str">
        <f t="shared" si="246"/>
        <v/>
      </c>
      <c r="BH169" s="81" t="str">
        <f t="shared" si="246"/>
        <v/>
      </c>
      <c r="BI169" s="81" t="str">
        <f t="shared" si="246"/>
        <v/>
      </c>
      <c r="BJ169" s="81" t="str">
        <f t="shared" si="246"/>
        <v/>
      </c>
      <c r="BK169" s="81" t="str">
        <f t="shared" si="246"/>
        <v/>
      </c>
      <c r="BL169" s="81" t="str">
        <f t="shared" si="246"/>
        <v/>
      </c>
      <c r="BM169" s="81" t="str">
        <f t="shared" si="246"/>
        <v/>
      </c>
      <c r="BN169" s="81" t="str">
        <f t="shared" si="246"/>
        <v/>
      </c>
      <c r="BO169" s="81" t="str">
        <f t="shared" si="246"/>
        <v/>
      </c>
      <c r="BP169" s="81" t="str">
        <f t="shared" si="246"/>
        <v/>
      </c>
      <c r="BQ169" s="82" t="str">
        <f t="shared" si="246"/>
        <v/>
      </c>
      <c r="BR169" s="11" t="s">
        <v>0</v>
      </c>
    </row>
    <row r="170" spans="1:70" ht="19.5" customHeight="1" outlineLevel="1">
      <c r="A170" s="307"/>
      <c r="B170" s="83">
        <v>8.3000000000000007</v>
      </c>
      <c r="C170" s="84"/>
      <c r="D170" s="85"/>
      <c r="E170" s="35"/>
      <c r="F170" s="35" t="s">
        <v>826</v>
      </c>
      <c r="G170" s="35"/>
      <c r="H170" s="35"/>
      <c r="I170" s="38"/>
      <c r="J170" s="40"/>
      <c r="K170" s="140"/>
      <c r="L170" s="249"/>
      <c r="M170" s="32"/>
      <c r="N170" s="22"/>
      <c r="O170" s="32">
        <f t="shared" si="243"/>
        <v>0</v>
      </c>
      <c r="P170" s="53"/>
      <c r="Q170" s="53"/>
      <c r="R170" s="22"/>
      <c r="S170" s="53"/>
      <c r="T170" s="53"/>
      <c r="U170" s="138">
        <f t="shared" si="244"/>
        <v>0</v>
      </c>
      <c r="V170" s="22"/>
      <c r="W170" s="32">
        <f t="shared" si="245"/>
        <v>0</v>
      </c>
      <c r="X170" s="53"/>
      <c r="Y170" s="53"/>
      <c r="Z170" s="24"/>
      <c r="AA170" s="40"/>
      <c r="AB170" s="24"/>
      <c r="AC170" s="46"/>
      <c r="AD170" s="40"/>
      <c r="AE170" s="40"/>
      <c r="AF170" s="41"/>
      <c r="AG170" s="41"/>
      <c r="AH170" s="28"/>
      <c r="AI170" s="291" t="str">
        <f t="shared" ref="AI170:BQ170" si="247">IFERROR(IF(AND($T170&gt;=(EOMONTH(AI$8,-1)+1),$U170&lt;AJ$8,$I170="M"),"u",""),"")</f>
        <v/>
      </c>
      <c r="AJ170" s="81" t="str">
        <f t="shared" si="247"/>
        <v/>
      </c>
      <c r="AK170" s="81" t="str">
        <f t="shared" si="247"/>
        <v/>
      </c>
      <c r="AL170" s="81" t="str">
        <f t="shared" si="247"/>
        <v/>
      </c>
      <c r="AM170" s="81" t="str">
        <f t="shared" si="247"/>
        <v/>
      </c>
      <c r="AN170" s="81" t="str">
        <f t="shared" si="247"/>
        <v/>
      </c>
      <c r="AO170" s="81" t="str">
        <f t="shared" si="247"/>
        <v/>
      </c>
      <c r="AP170" s="81" t="str">
        <f t="shared" si="247"/>
        <v/>
      </c>
      <c r="AQ170" s="81" t="str">
        <f t="shared" si="247"/>
        <v/>
      </c>
      <c r="AR170" s="81" t="str">
        <f t="shared" si="247"/>
        <v/>
      </c>
      <c r="AS170" s="81" t="str">
        <f t="shared" si="247"/>
        <v/>
      </c>
      <c r="AT170" s="81" t="str">
        <f t="shared" si="247"/>
        <v/>
      </c>
      <c r="AU170" s="81" t="str">
        <f t="shared" si="247"/>
        <v/>
      </c>
      <c r="AV170" s="81" t="str">
        <f t="shared" si="247"/>
        <v/>
      </c>
      <c r="AW170" s="81" t="str">
        <f t="shared" si="247"/>
        <v/>
      </c>
      <c r="AX170" s="81" t="str">
        <f t="shared" si="247"/>
        <v/>
      </c>
      <c r="AY170" s="81" t="str">
        <f t="shared" si="247"/>
        <v/>
      </c>
      <c r="AZ170" s="81" t="str">
        <f t="shared" si="247"/>
        <v/>
      </c>
      <c r="BA170" s="81" t="str">
        <f t="shared" si="247"/>
        <v/>
      </c>
      <c r="BB170" s="81" t="str">
        <f t="shared" si="247"/>
        <v/>
      </c>
      <c r="BC170" s="81" t="str">
        <f t="shared" si="247"/>
        <v/>
      </c>
      <c r="BD170" s="81" t="str">
        <f t="shared" si="247"/>
        <v/>
      </c>
      <c r="BE170" s="81" t="str">
        <f t="shared" si="247"/>
        <v/>
      </c>
      <c r="BF170" s="81" t="str">
        <f t="shared" si="247"/>
        <v/>
      </c>
      <c r="BG170" s="81" t="str">
        <f t="shared" si="247"/>
        <v/>
      </c>
      <c r="BH170" s="81" t="str">
        <f t="shared" si="247"/>
        <v/>
      </c>
      <c r="BI170" s="81" t="str">
        <f t="shared" si="247"/>
        <v/>
      </c>
      <c r="BJ170" s="81" t="str">
        <f t="shared" si="247"/>
        <v/>
      </c>
      <c r="BK170" s="81" t="str">
        <f t="shared" si="247"/>
        <v/>
      </c>
      <c r="BL170" s="81" t="str">
        <f t="shared" si="247"/>
        <v/>
      </c>
      <c r="BM170" s="81" t="str">
        <f t="shared" si="247"/>
        <v/>
      </c>
      <c r="BN170" s="81" t="str">
        <f t="shared" si="247"/>
        <v/>
      </c>
      <c r="BO170" s="81" t="str">
        <f t="shared" si="247"/>
        <v/>
      </c>
      <c r="BP170" s="81" t="str">
        <f t="shared" si="247"/>
        <v/>
      </c>
      <c r="BQ170" s="82" t="str">
        <f t="shared" si="247"/>
        <v/>
      </c>
      <c r="BR170" s="11" t="s">
        <v>0</v>
      </c>
    </row>
    <row r="171" spans="1:70" ht="19.5" customHeight="1" outlineLevel="1">
      <c r="A171" s="307"/>
      <c r="B171" s="83">
        <v>8.4</v>
      </c>
      <c r="C171" s="84"/>
      <c r="D171" s="85"/>
      <c r="E171" s="35"/>
      <c r="F171" s="35" t="s">
        <v>827</v>
      </c>
      <c r="G171" s="35"/>
      <c r="H171" s="35"/>
      <c r="I171" s="38"/>
      <c r="J171" s="40"/>
      <c r="K171" s="140" t="s">
        <v>828</v>
      </c>
      <c r="L171" s="249"/>
      <c r="M171" s="32"/>
      <c r="N171" s="22"/>
      <c r="O171" s="32">
        <f t="shared" si="243"/>
        <v>0</v>
      </c>
      <c r="P171" s="53"/>
      <c r="Q171" s="53"/>
      <c r="R171" s="22"/>
      <c r="S171" s="53"/>
      <c r="T171" s="53"/>
      <c r="U171" s="138">
        <f t="shared" si="244"/>
        <v>0</v>
      </c>
      <c r="V171" s="22"/>
      <c r="W171" s="32">
        <f t="shared" si="245"/>
        <v>0</v>
      </c>
      <c r="X171" s="53"/>
      <c r="Y171" s="53"/>
      <c r="Z171" s="24"/>
      <c r="AA171" s="40"/>
      <c r="AB171" s="24"/>
      <c r="AC171" s="46"/>
      <c r="AD171" s="40"/>
      <c r="AE171" s="40"/>
      <c r="AF171" s="41"/>
      <c r="AG171" s="41"/>
      <c r="AH171" s="28"/>
      <c r="AI171" s="291" t="str">
        <f t="shared" ref="AI171:BQ171" si="248">IFERROR(IF(AND($T171&gt;=(EOMONTH(AI$8,-1)+1),$U171&lt;AJ$8,$I171="M"),"u",""),"")</f>
        <v/>
      </c>
      <c r="AJ171" s="81" t="str">
        <f t="shared" si="248"/>
        <v/>
      </c>
      <c r="AK171" s="81" t="str">
        <f t="shared" si="248"/>
        <v/>
      </c>
      <c r="AL171" s="81" t="str">
        <f t="shared" si="248"/>
        <v/>
      </c>
      <c r="AM171" s="81" t="str">
        <f t="shared" si="248"/>
        <v/>
      </c>
      <c r="AN171" s="81" t="str">
        <f t="shared" si="248"/>
        <v/>
      </c>
      <c r="AO171" s="81" t="str">
        <f t="shared" si="248"/>
        <v/>
      </c>
      <c r="AP171" s="81" t="str">
        <f t="shared" si="248"/>
        <v/>
      </c>
      <c r="AQ171" s="81" t="str">
        <f t="shared" si="248"/>
        <v/>
      </c>
      <c r="AR171" s="81" t="str">
        <f t="shared" si="248"/>
        <v/>
      </c>
      <c r="AS171" s="81" t="str">
        <f t="shared" si="248"/>
        <v/>
      </c>
      <c r="AT171" s="81" t="str">
        <f t="shared" si="248"/>
        <v/>
      </c>
      <c r="AU171" s="81" t="str">
        <f t="shared" si="248"/>
        <v/>
      </c>
      <c r="AV171" s="81" t="str">
        <f t="shared" si="248"/>
        <v/>
      </c>
      <c r="AW171" s="81" t="str">
        <f t="shared" si="248"/>
        <v/>
      </c>
      <c r="AX171" s="81" t="str">
        <f t="shared" si="248"/>
        <v/>
      </c>
      <c r="AY171" s="81" t="str">
        <f t="shared" si="248"/>
        <v/>
      </c>
      <c r="AZ171" s="81" t="str">
        <f t="shared" si="248"/>
        <v/>
      </c>
      <c r="BA171" s="81" t="str">
        <f t="shared" si="248"/>
        <v/>
      </c>
      <c r="BB171" s="81" t="str">
        <f t="shared" si="248"/>
        <v/>
      </c>
      <c r="BC171" s="81" t="str">
        <f t="shared" si="248"/>
        <v/>
      </c>
      <c r="BD171" s="81" t="str">
        <f t="shared" si="248"/>
        <v/>
      </c>
      <c r="BE171" s="81" t="str">
        <f t="shared" si="248"/>
        <v/>
      </c>
      <c r="BF171" s="81" t="str">
        <f t="shared" si="248"/>
        <v/>
      </c>
      <c r="BG171" s="81" t="str">
        <f t="shared" si="248"/>
        <v/>
      </c>
      <c r="BH171" s="81" t="str">
        <f t="shared" si="248"/>
        <v/>
      </c>
      <c r="BI171" s="81" t="str">
        <f t="shared" si="248"/>
        <v/>
      </c>
      <c r="BJ171" s="81" t="str">
        <f t="shared" si="248"/>
        <v/>
      </c>
      <c r="BK171" s="81" t="str">
        <f t="shared" si="248"/>
        <v/>
      </c>
      <c r="BL171" s="81" t="str">
        <f t="shared" si="248"/>
        <v/>
      </c>
      <c r="BM171" s="81" t="str">
        <f t="shared" si="248"/>
        <v/>
      </c>
      <c r="BN171" s="81" t="str">
        <f t="shared" si="248"/>
        <v/>
      </c>
      <c r="BO171" s="81" t="str">
        <f t="shared" si="248"/>
        <v/>
      </c>
      <c r="BP171" s="81" t="str">
        <f t="shared" si="248"/>
        <v/>
      </c>
      <c r="BQ171" s="82" t="str">
        <f t="shared" si="248"/>
        <v/>
      </c>
      <c r="BR171" s="11" t="s">
        <v>0</v>
      </c>
    </row>
    <row r="172" spans="1:70" ht="19.5" customHeight="1" outlineLevel="1">
      <c r="A172" s="165"/>
      <c r="B172" s="166">
        <v>8.5</v>
      </c>
      <c r="C172" s="395"/>
      <c r="D172" s="167"/>
      <c r="E172" s="58"/>
      <c r="F172" s="58" t="s">
        <v>829</v>
      </c>
      <c r="G172" s="58"/>
      <c r="H172" s="58"/>
      <c r="I172" s="257"/>
      <c r="J172" s="396"/>
      <c r="K172" s="168"/>
      <c r="L172" s="169"/>
      <c r="M172" s="258"/>
      <c r="N172" s="22"/>
      <c r="O172" s="258">
        <f t="shared" si="243"/>
        <v>0</v>
      </c>
      <c r="P172" s="170"/>
      <c r="Q172" s="170"/>
      <c r="R172" s="61"/>
      <c r="S172" s="170"/>
      <c r="T172" s="170"/>
      <c r="U172" s="397">
        <f t="shared" si="244"/>
        <v>0</v>
      </c>
      <c r="V172" s="22"/>
      <c r="W172" s="258">
        <f t="shared" si="245"/>
        <v>0</v>
      </c>
      <c r="X172" s="170"/>
      <c r="Y172" s="170"/>
      <c r="Z172" s="62"/>
      <c r="AA172" s="396"/>
      <c r="AB172" s="62"/>
      <c r="AC172" s="398"/>
      <c r="AD172" s="396"/>
      <c r="AE172" s="396"/>
      <c r="AF172" s="399"/>
      <c r="AG172" s="399"/>
      <c r="AH172" s="28"/>
      <c r="AI172" s="291" t="str">
        <f t="shared" ref="AI172:BQ172" si="249">IFERROR(IF(AND($T172&gt;=(EOMONTH(AI$8,-1)+1),$U172&lt;AJ$8,$I172="M"),"u",""),"")</f>
        <v/>
      </c>
      <c r="AJ172" s="81" t="str">
        <f t="shared" si="249"/>
        <v/>
      </c>
      <c r="AK172" s="81" t="str">
        <f t="shared" si="249"/>
        <v/>
      </c>
      <c r="AL172" s="81" t="str">
        <f t="shared" si="249"/>
        <v/>
      </c>
      <c r="AM172" s="81" t="str">
        <f t="shared" si="249"/>
        <v/>
      </c>
      <c r="AN172" s="81" t="str">
        <f t="shared" si="249"/>
        <v/>
      </c>
      <c r="AO172" s="81" t="str">
        <f t="shared" si="249"/>
        <v/>
      </c>
      <c r="AP172" s="81" t="str">
        <f t="shared" si="249"/>
        <v/>
      </c>
      <c r="AQ172" s="81" t="str">
        <f t="shared" si="249"/>
        <v/>
      </c>
      <c r="AR172" s="81" t="str">
        <f t="shared" si="249"/>
        <v/>
      </c>
      <c r="AS172" s="81" t="str">
        <f t="shared" si="249"/>
        <v/>
      </c>
      <c r="AT172" s="81" t="str">
        <f t="shared" si="249"/>
        <v/>
      </c>
      <c r="AU172" s="81" t="str">
        <f t="shared" si="249"/>
        <v/>
      </c>
      <c r="AV172" s="81" t="str">
        <f t="shared" si="249"/>
        <v/>
      </c>
      <c r="AW172" s="81" t="str">
        <f t="shared" si="249"/>
        <v/>
      </c>
      <c r="AX172" s="81" t="str">
        <f t="shared" si="249"/>
        <v/>
      </c>
      <c r="AY172" s="81" t="str">
        <f t="shared" si="249"/>
        <v/>
      </c>
      <c r="AZ172" s="81" t="str">
        <f t="shared" si="249"/>
        <v/>
      </c>
      <c r="BA172" s="81" t="str">
        <f t="shared" si="249"/>
        <v/>
      </c>
      <c r="BB172" s="81" t="str">
        <f t="shared" si="249"/>
        <v/>
      </c>
      <c r="BC172" s="81" t="str">
        <f t="shared" si="249"/>
        <v/>
      </c>
      <c r="BD172" s="81" t="str">
        <f t="shared" si="249"/>
        <v/>
      </c>
      <c r="BE172" s="81" t="str">
        <f t="shared" si="249"/>
        <v/>
      </c>
      <c r="BF172" s="81" t="str">
        <f t="shared" si="249"/>
        <v/>
      </c>
      <c r="BG172" s="81" t="str">
        <f t="shared" si="249"/>
        <v/>
      </c>
      <c r="BH172" s="81" t="str">
        <f t="shared" si="249"/>
        <v/>
      </c>
      <c r="BI172" s="81" t="str">
        <f t="shared" si="249"/>
        <v/>
      </c>
      <c r="BJ172" s="81" t="str">
        <f t="shared" si="249"/>
        <v/>
      </c>
      <c r="BK172" s="81" t="str">
        <f t="shared" si="249"/>
        <v/>
      </c>
      <c r="BL172" s="81" t="str">
        <f t="shared" si="249"/>
        <v/>
      </c>
      <c r="BM172" s="81" t="str">
        <f t="shared" si="249"/>
        <v/>
      </c>
      <c r="BN172" s="81" t="str">
        <f t="shared" si="249"/>
        <v/>
      </c>
      <c r="BO172" s="81" t="str">
        <f t="shared" si="249"/>
        <v/>
      </c>
      <c r="BP172" s="81" t="str">
        <f t="shared" si="249"/>
        <v/>
      </c>
      <c r="BQ172" s="82" t="str">
        <f t="shared" si="249"/>
        <v/>
      </c>
      <c r="BR172" s="11" t="s">
        <v>0</v>
      </c>
    </row>
    <row r="173" spans="1:70" ht="20.25" customHeight="1">
      <c r="A173" s="66" t="s">
        <v>0</v>
      </c>
      <c r="B173" s="171" t="s">
        <v>0</v>
      </c>
      <c r="C173" s="11" t="s">
        <v>0</v>
      </c>
      <c r="D173" s="172" t="s">
        <v>0</v>
      </c>
      <c r="E173" s="11" t="s">
        <v>0</v>
      </c>
      <c r="F173" s="11" t="s">
        <v>0</v>
      </c>
      <c r="G173" s="11" t="s">
        <v>0</v>
      </c>
      <c r="H173" s="11" t="s">
        <v>0</v>
      </c>
      <c r="I173" s="11"/>
      <c r="J173" s="11" t="s">
        <v>0</v>
      </c>
      <c r="K173" s="67" t="s">
        <v>0</v>
      </c>
      <c r="L173" s="11" t="s">
        <v>0</v>
      </c>
      <c r="M173" s="11"/>
      <c r="N173" s="11"/>
      <c r="O173" s="11" t="s">
        <v>0</v>
      </c>
      <c r="P173" s="11" t="s">
        <v>0</v>
      </c>
      <c r="Q173" s="11" t="s">
        <v>0</v>
      </c>
      <c r="R173" s="11" t="s">
        <v>0</v>
      </c>
      <c r="S173" s="11" t="s">
        <v>0</v>
      </c>
      <c r="T173" s="11" t="s">
        <v>0</v>
      </c>
      <c r="U173" s="11" t="s">
        <v>0</v>
      </c>
      <c r="V173" s="11" t="s">
        <v>0</v>
      </c>
      <c r="W173" s="11" t="s">
        <v>0</v>
      </c>
      <c r="X173" s="11" t="s">
        <v>0</v>
      </c>
      <c r="Y173" s="11" t="s">
        <v>0</v>
      </c>
      <c r="Z173" s="68" t="s">
        <v>0</v>
      </c>
      <c r="AA173" s="68"/>
      <c r="AB173" s="68"/>
      <c r="AC173" s="11" t="s">
        <v>0</v>
      </c>
      <c r="AD173" s="11" t="s">
        <v>0</v>
      </c>
      <c r="AE173" s="11" t="s">
        <v>0</v>
      </c>
      <c r="AF173" s="11" t="s">
        <v>0</v>
      </c>
      <c r="AG173" s="11"/>
      <c r="AH173" s="11" t="s">
        <v>0</v>
      </c>
      <c r="AI173" s="69" t="s">
        <v>0</v>
      </c>
      <c r="AJ173" s="69" t="s">
        <v>0</v>
      </c>
      <c r="AK173" s="69" t="s">
        <v>0</v>
      </c>
      <c r="AL173" s="69" t="s">
        <v>0</v>
      </c>
      <c r="AM173" s="69" t="s">
        <v>0</v>
      </c>
      <c r="AN173" s="69" t="s">
        <v>0</v>
      </c>
      <c r="AO173" s="69" t="s">
        <v>0</v>
      </c>
      <c r="AP173" s="69" t="s">
        <v>0</v>
      </c>
      <c r="AQ173" s="69" t="s">
        <v>0</v>
      </c>
      <c r="AR173" s="69" t="s">
        <v>0</v>
      </c>
      <c r="AS173" s="69" t="s">
        <v>0</v>
      </c>
      <c r="AT173" s="69" t="s">
        <v>0</v>
      </c>
      <c r="AU173" s="69" t="s">
        <v>0</v>
      </c>
      <c r="AV173" s="69" t="s">
        <v>0</v>
      </c>
      <c r="AW173" s="69" t="s">
        <v>0</v>
      </c>
      <c r="AX173" s="69" t="s">
        <v>0</v>
      </c>
      <c r="AY173" s="69" t="s">
        <v>0</v>
      </c>
      <c r="AZ173" s="69" t="s">
        <v>0</v>
      </c>
      <c r="BA173" s="69" t="s">
        <v>0</v>
      </c>
      <c r="BB173" s="69" t="s">
        <v>0</v>
      </c>
      <c r="BC173" s="69" t="s">
        <v>0</v>
      </c>
      <c r="BD173" s="69" t="s">
        <v>0</v>
      </c>
      <c r="BE173" s="69" t="s">
        <v>0</v>
      </c>
      <c r="BF173" s="69" t="s">
        <v>0</v>
      </c>
      <c r="BG173" s="69" t="s">
        <v>0</v>
      </c>
      <c r="BH173" s="69" t="s">
        <v>0</v>
      </c>
      <c r="BI173" s="69" t="s">
        <v>0</v>
      </c>
      <c r="BJ173" s="69" t="s">
        <v>0</v>
      </c>
      <c r="BK173" s="69" t="s">
        <v>0</v>
      </c>
      <c r="BL173" s="69" t="s">
        <v>0</v>
      </c>
      <c r="BM173" s="69" t="s">
        <v>0</v>
      </c>
      <c r="BN173" s="69" t="s">
        <v>0</v>
      </c>
      <c r="BO173" s="69" t="s">
        <v>0</v>
      </c>
      <c r="BP173" s="69" t="s">
        <v>0</v>
      </c>
      <c r="BQ173" s="69" t="s">
        <v>0</v>
      </c>
      <c r="BR173" s="11" t="s">
        <v>0</v>
      </c>
    </row>
    <row r="174" spans="1:70" ht="20.25" customHeight="1">
      <c r="A174" s="1"/>
      <c r="B174" s="2"/>
      <c r="C174" s="3"/>
      <c r="D174" s="105" t="s">
        <v>830</v>
      </c>
      <c r="E174" s="35"/>
      <c r="F174" s="28"/>
      <c r="G174" s="28"/>
      <c r="H174" s="28"/>
      <c r="I174" s="70"/>
      <c r="J174" s="5"/>
      <c r="K174" s="173"/>
      <c r="L174" s="71"/>
      <c r="M174" s="71"/>
      <c r="N174" s="71"/>
      <c r="O174" s="71"/>
      <c r="P174" s="71"/>
      <c r="Q174" s="71"/>
      <c r="R174" s="71"/>
      <c r="S174" s="71"/>
      <c r="T174" s="71"/>
      <c r="U174" s="71"/>
      <c r="V174" s="71"/>
      <c r="W174" s="71"/>
      <c r="X174" s="71"/>
      <c r="Y174" s="71"/>
      <c r="Z174" s="72"/>
      <c r="AA174" s="72"/>
      <c r="AB174" s="72"/>
      <c r="AC174" s="73"/>
      <c r="AD174" s="73"/>
      <c r="AE174" s="73"/>
      <c r="AF174" s="73"/>
      <c r="AG174" s="73"/>
      <c r="AH174" s="28"/>
      <c r="AI174" s="71"/>
      <c r="AJ174" s="71"/>
      <c r="AK174" s="71"/>
      <c r="AL174" s="71"/>
      <c r="AM174" s="71"/>
      <c r="AN174" s="71"/>
      <c r="AO174" s="71"/>
      <c r="AP174" s="71"/>
      <c r="AQ174" s="71"/>
      <c r="AR174" s="71"/>
      <c r="AS174" s="71"/>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row>
    <row r="175" spans="1:70" ht="20.25" customHeight="1">
      <c r="A175" s="1"/>
      <c r="B175" s="2"/>
      <c r="C175" s="3"/>
      <c r="D175" s="105" t="s">
        <v>831</v>
      </c>
      <c r="E175" s="35" t="s">
        <v>832</v>
      </c>
      <c r="F175" s="28"/>
      <c r="G175" s="28"/>
      <c r="H175" s="28"/>
      <c r="I175" s="70"/>
      <c r="J175" s="5"/>
      <c r="K175" s="173"/>
      <c r="L175" s="71"/>
      <c r="M175" s="71"/>
      <c r="N175" s="71"/>
      <c r="O175" s="71"/>
      <c r="P175" s="71"/>
      <c r="Q175" s="71"/>
      <c r="R175" s="71"/>
      <c r="S175" s="71"/>
      <c r="T175" s="71"/>
      <c r="U175" s="71"/>
      <c r="V175" s="71"/>
      <c r="W175" s="71"/>
      <c r="X175" s="71"/>
      <c r="Y175" s="71"/>
      <c r="Z175" s="72"/>
      <c r="AA175" s="72"/>
      <c r="AB175" s="72"/>
      <c r="AC175" s="73"/>
      <c r="AD175" s="73"/>
      <c r="AE175" s="73"/>
      <c r="AF175" s="73"/>
      <c r="AG175" s="73"/>
      <c r="AH175" s="28"/>
      <c r="AI175" s="71"/>
      <c r="AJ175" s="71"/>
      <c r="AK175" s="71"/>
      <c r="AL175" s="71"/>
      <c r="AM175" s="71"/>
      <c r="AN175" s="71"/>
      <c r="AO175" s="71"/>
      <c r="AP175" s="71"/>
      <c r="AQ175" s="71"/>
      <c r="AR175" s="71"/>
      <c r="AS175" s="71"/>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Q175" s="73"/>
      <c r="BR175" s="73"/>
    </row>
    <row r="176" spans="1:70" ht="20.25" customHeight="1">
      <c r="A176" s="1"/>
      <c r="B176" s="2"/>
      <c r="C176" s="3"/>
      <c r="D176" s="105" t="s">
        <v>833</v>
      </c>
      <c r="E176" s="35"/>
      <c r="F176" s="28"/>
      <c r="G176" s="28"/>
      <c r="H176" s="28"/>
      <c r="I176" s="70"/>
      <c r="J176" s="5"/>
      <c r="K176" s="173"/>
      <c r="L176" s="71"/>
      <c r="M176" s="71"/>
      <c r="N176" s="71"/>
      <c r="O176" s="71"/>
      <c r="P176" s="71"/>
      <c r="Q176" s="71"/>
      <c r="R176" s="71"/>
      <c r="S176" s="71"/>
      <c r="T176" s="71"/>
      <c r="U176" s="71"/>
      <c r="V176" s="71"/>
      <c r="W176" s="71"/>
      <c r="X176" s="71"/>
      <c r="Y176" s="71"/>
      <c r="Z176" s="72"/>
      <c r="AA176" s="72"/>
      <c r="AB176" s="72"/>
      <c r="AC176" s="73"/>
      <c r="AD176" s="73"/>
      <c r="AE176" s="73"/>
      <c r="AF176" s="73"/>
      <c r="AG176" s="73"/>
      <c r="AH176" s="28"/>
      <c r="AI176" s="71"/>
      <c r="AJ176" s="71"/>
      <c r="AK176" s="71"/>
      <c r="AL176" s="71"/>
      <c r="AM176" s="71"/>
      <c r="AN176" s="71"/>
      <c r="AO176" s="71"/>
      <c r="AP176" s="71"/>
      <c r="AQ176" s="71"/>
      <c r="AR176" s="71"/>
      <c r="AS176" s="71"/>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Q176" s="73"/>
      <c r="BR176" s="73"/>
    </row>
  </sheetData>
  <mergeCells count="2">
    <mergeCell ref="A8:C8"/>
    <mergeCell ref="D8:H8"/>
  </mergeCells>
  <conditionalFormatting sqref="A10:M26 A29:I43 A44:M82 A85:F115 A163:M172 G85:M129 G130:I161 J29:M34 J36:L38 J39:M43 J132:M137 J139:M161 M35:M38 O10:Q26 O84:Q161 O163:Q172 S29:U43 S45:S48 S47:U48 S84:U161 S163:U172 W84:Y161 W163:Y172 AA10:AA26 AA84:AA161 AC28:AG41 AC84:AG161 AC163:AG172">
    <cfRule type="expression" dxfId="122" priority="1">
      <formula>NOT(ISBLANK($A10))</formula>
    </cfRule>
  </conditionalFormatting>
  <conditionalFormatting sqref="A28:M28 O28:Q28">
    <cfRule type="expression" dxfId="121" priority="2">
      <formula>NOT(ISBLANK($A28))</formula>
    </cfRule>
  </conditionalFormatting>
  <conditionalFormatting sqref="C121">
    <cfRule type="expression" dxfId="120" priority="3">
      <formula>NOT(ISBLANK($B125))</formula>
    </cfRule>
  </conditionalFormatting>
  <conditionalFormatting sqref="C121">
    <cfRule type="expression" dxfId="119" priority="4">
      <formula>NOT(ISBLANK($A125))</formula>
    </cfRule>
  </conditionalFormatting>
  <conditionalFormatting sqref="F117:F118 AE42:AE43">
    <cfRule type="expression" dxfId="118" priority="5">
      <formula>NOT(ISBLANK($B41))</formula>
    </cfRule>
  </conditionalFormatting>
  <conditionalFormatting sqref="F123:G123">
    <cfRule type="expression" dxfId="117" priority="6">
      <formula>NOT(ISBLANK($B125))</formula>
    </cfRule>
  </conditionalFormatting>
  <conditionalFormatting sqref="F123:G123">
    <cfRule type="expression" dxfId="116" priority="7">
      <formula>NOT(ISBLANK($A125))</formula>
    </cfRule>
  </conditionalFormatting>
  <conditionalFormatting sqref="G117:G118">
    <cfRule type="expression" dxfId="115" priority="8">
      <formula>NOT(ISBLANK($B116))</formula>
    </cfRule>
  </conditionalFormatting>
  <conditionalFormatting sqref="G117:G118">
    <cfRule type="expression" dxfId="114" priority="9">
      <formula>NOT(ISBLANK($A116))</formula>
    </cfRule>
  </conditionalFormatting>
  <conditionalFormatting sqref="J35">
    <cfRule type="expression" dxfId="113" priority="10">
      <formula>#REF!=$A35</formula>
    </cfRule>
  </conditionalFormatting>
  <conditionalFormatting sqref="J35">
    <cfRule type="expression" dxfId="112" priority="11">
      <formula>#REF!=$B35</formula>
    </cfRule>
  </conditionalFormatting>
  <conditionalFormatting sqref="J35">
    <cfRule type="expression" dxfId="111" priority="12">
      <formula>$A35=$B35</formula>
    </cfRule>
  </conditionalFormatting>
  <conditionalFormatting sqref="J130:J131">
    <cfRule type="expression" dxfId="110" priority="13">
      <formula>#REF!=$A130</formula>
    </cfRule>
  </conditionalFormatting>
  <conditionalFormatting sqref="J130:J131">
    <cfRule type="expression" dxfId="109" priority="14">
      <formula>#REF!=$B130</formula>
    </cfRule>
  </conditionalFormatting>
  <conditionalFormatting sqref="J130:J131">
    <cfRule type="expression" dxfId="108" priority="15">
      <formula>$A130=$B130</formula>
    </cfRule>
  </conditionalFormatting>
  <conditionalFormatting sqref="J138">
    <cfRule type="expression" dxfId="107" priority="16">
      <formula>#REF!=$A138</formula>
    </cfRule>
  </conditionalFormatting>
  <conditionalFormatting sqref="J138">
    <cfRule type="expression" dxfId="106" priority="17">
      <formula>#REF!=$B138</formula>
    </cfRule>
  </conditionalFormatting>
  <conditionalFormatting sqref="J138">
    <cfRule type="expression" dxfId="105" priority="18">
      <formula>$A138=$B138</formula>
    </cfRule>
  </conditionalFormatting>
  <conditionalFormatting sqref="A84:M84 A116:B122 C116:F120 C122:F122 D121:F121 K35:L35 K130:M131 K138:M138 AC42:AD43 AF42:AG43">
    <cfRule type="expression" dxfId="104" priority="19">
      <formula>NOT(ISBLANK($B35))</formula>
    </cfRule>
  </conditionalFormatting>
  <conditionalFormatting sqref="A84:M84 A116:B122 C116:F120 C122:F122 D121:F121 K35:L35 K130:M131 K138:M138 AC42:AD43 AF42:AG43">
    <cfRule type="expression" dxfId="103" priority="20">
      <formula>NOT(ISBLANK($A35))</formula>
    </cfRule>
  </conditionalFormatting>
  <conditionalFormatting sqref="O10:Q11 AC10:AG26">
    <cfRule type="expression" dxfId="102" priority="21">
      <formula>NOT(ISBLANK($B10))</formula>
    </cfRule>
  </conditionalFormatting>
  <conditionalFormatting sqref="O10:Q11 AC10:AG26">
    <cfRule type="expression" dxfId="101" priority="22">
      <formula>NOT(ISBLANK($A10))</formula>
    </cfRule>
  </conditionalFormatting>
  <conditionalFormatting sqref="O28:Q28">
    <cfRule type="expression" dxfId="100" priority="23">
      <formula>NOT(ISBLANK($B28))</formula>
    </cfRule>
  </conditionalFormatting>
  <conditionalFormatting sqref="O28:Q28">
    <cfRule type="expression" dxfId="99" priority="24">
      <formula>NOT(ISBLANK($A28))</formula>
    </cfRule>
  </conditionalFormatting>
  <conditionalFormatting sqref="A28:M28 A29:I43 A44:M82 J29:M34 J36:L38 J39:M43 M35:M38 O28:Q82 W44:Y70 AC28:AG41">
    <cfRule type="expression" dxfId="98" priority="25">
      <formula>NOT(ISBLANK($B28))</formula>
    </cfRule>
  </conditionalFormatting>
  <conditionalFormatting sqref="O29:Q82">
    <cfRule type="expression" dxfId="97" priority="26">
      <formula>NOT(ISBLANK($A29))</formula>
    </cfRule>
  </conditionalFormatting>
  <conditionalFormatting sqref="O50:Q51">
    <cfRule type="expression" dxfId="96" priority="27">
      <formula>NOT(ISBLANK($A50))</formula>
    </cfRule>
  </conditionalFormatting>
  <conditionalFormatting sqref="O52:Q62 O65:Q66">
    <cfRule type="expression" dxfId="95" priority="28">
      <formula>NOT(ISBLANK($B52))</formula>
    </cfRule>
  </conditionalFormatting>
  <conditionalFormatting sqref="O63:Q64">
    <cfRule type="expression" dxfId="94" priority="29">
      <formula>NOT(ISBLANK($A63))</formula>
    </cfRule>
  </conditionalFormatting>
  <conditionalFormatting sqref="O67:Q70">
    <cfRule type="expression" dxfId="93" priority="30">
      <formula>NOT(ISBLANK($A67))</formula>
    </cfRule>
  </conditionalFormatting>
  <conditionalFormatting sqref="O71:Q73 O114:Q115 S45:S52 S114:T115 U105:U161 U163:U172 W114:Y115">
    <cfRule type="expression" dxfId="92" priority="31">
      <formula>NOT(_xludf.ISFORMULA(O45))</formula>
    </cfRule>
  </conditionalFormatting>
  <conditionalFormatting sqref="O71:Q82">
    <cfRule type="expression" dxfId="91" priority="32">
      <formula>NOT(ISBLANK($B71))</formula>
    </cfRule>
  </conditionalFormatting>
  <conditionalFormatting sqref="O71:Q82">
    <cfRule type="expression" dxfId="90" priority="33">
      <formula>NOT(ISBLANK($A71))</formula>
    </cfRule>
  </conditionalFormatting>
  <conditionalFormatting sqref="O84:Q84">
    <cfRule type="expression" dxfId="89" priority="34">
      <formula>NOT(_xludf.ISFORMULA(O84))</formula>
    </cfRule>
  </conditionalFormatting>
  <conditionalFormatting sqref="A10:M26 A85:F115 A163:M172 G85:M129 G130:I161 J132:M137 J139:M161 O10:Q26 O84:Q161 O163:Q172 S84:U161 S163:U172 W84:Y161 W163:Y172 AA10:AA26 AA84:AA161 AC84:AG161 AC163:AG172">
    <cfRule type="expression" dxfId="88" priority="35">
      <formula>NOT(ISBLANK($B10))</formula>
    </cfRule>
  </conditionalFormatting>
  <conditionalFormatting sqref="O105:Q105">
    <cfRule type="expression" dxfId="87" priority="36">
      <formula>NOT(_xludf.ISFORMULA(O105))</formula>
    </cfRule>
  </conditionalFormatting>
  <conditionalFormatting sqref="O128:Q128">
    <cfRule type="expression" dxfId="86" priority="37">
      <formula>NOT(_xludf.ISFORMULA(O128))</formula>
    </cfRule>
  </conditionalFormatting>
  <conditionalFormatting sqref="O133:Q133">
    <cfRule type="expression" dxfId="85" priority="38">
      <formula>NOT(_xludf.ISFORMULA(O133))</formula>
    </cfRule>
  </conditionalFormatting>
  <conditionalFormatting sqref="O154:Q155">
    <cfRule type="expression" dxfId="84" priority="39">
      <formula>NOT(_xludf.ISFORMULA(O154))</formula>
    </cfRule>
  </conditionalFormatting>
  <conditionalFormatting sqref="O159:Q159">
    <cfRule type="expression" dxfId="83" priority="40">
      <formula>NOT(_xludf.ISFORMULA(O159))</formula>
    </cfRule>
  </conditionalFormatting>
  <conditionalFormatting sqref="P30">
    <cfRule type="expression" dxfId="82" priority="41">
      <formula>NOT(_xludf.ISFORMULA(P30))</formula>
    </cfRule>
  </conditionalFormatting>
  <conditionalFormatting sqref="P15:Q16">
    <cfRule type="expression" dxfId="81" priority="42">
      <formula>NOT(_xludf.ISFORMULA(P15))</formula>
    </cfRule>
  </conditionalFormatting>
  <conditionalFormatting sqref="P36:Q37">
    <cfRule type="expression" dxfId="80" priority="43">
      <formula>NOT(_xludf.ISFORMULA(P36))</formula>
    </cfRule>
  </conditionalFormatting>
  <conditionalFormatting sqref="P43:Q43">
    <cfRule type="expression" dxfId="79" priority="44">
      <formula>NOT(_xludf.ISFORMULA(P43))</formula>
    </cfRule>
  </conditionalFormatting>
  <conditionalFormatting sqref="P62:Q62">
    <cfRule type="expression" dxfId="78" priority="45">
      <formula>NOT(_xludf.ISFORMULA(P62))</formula>
    </cfRule>
  </conditionalFormatting>
  <conditionalFormatting sqref="P66:Q66">
    <cfRule type="expression" dxfId="77" priority="46">
      <formula>NOT(_xludf.ISFORMULA(P66))</formula>
    </cfRule>
  </conditionalFormatting>
  <conditionalFormatting sqref="Q30:Q33">
    <cfRule type="expression" dxfId="76" priority="47">
      <formula>NOT(_xludf.ISFORMULA(Q30))</formula>
    </cfRule>
  </conditionalFormatting>
  <conditionalFormatting sqref="Q40:Q42">
    <cfRule type="expression" dxfId="75" priority="48">
      <formula>NOT(_xludf.ISFORMULA(Q40))</formula>
    </cfRule>
  </conditionalFormatting>
  <conditionalFormatting sqref="Q49">
    <cfRule type="expression" dxfId="74" priority="49">
      <formula>NOT(_xludf.ISFORMULA(Q49))</formula>
    </cfRule>
  </conditionalFormatting>
  <conditionalFormatting sqref="S44:U44 S49:U49 S50:S52 S53:U55 S60:U66 S67:T67 S68:S82">
    <cfRule type="expression" dxfId="73" priority="50">
      <formula>NOT(ISBLANK($A44))</formula>
    </cfRule>
  </conditionalFormatting>
  <conditionalFormatting sqref="S105:T105">
    <cfRule type="expression" dxfId="72" priority="51">
      <formula>NOT(_xludf.ISFORMULA(S105))</formula>
    </cfRule>
  </conditionalFormatting>
  <conditionalFormatting sqref="S128:T128">
    <cfRule type="expression" dxfId="71" priority="52">
      <formula>NOT(_xludf.ISFORMULA(S128))</formula>
    </cfRule>
  </conditionalFormatting>
  <conditionalFormatting sqref="S133:T133">
    <cfRule type="expression" dxfId="70" priority="53">
      <formula>NOT(_xludf.ISFORMULA(S133))</formula>
    </cfRule>
  </conditionalFormatting>
  <conditionalFormatting sqref="S154:T155">
    <cfRule type="expression" dxfId="69" priority="54">
      <formula>NOT(_xludf.ISFORMULA(S154))</formula>
    </cfRule>
  </conditionalFormatting>
  <conditionalFormatting sqref="S159:T159">
    <cfRule type="expression" dxfId="68" priority="55">
      <formula>NOT(_xludf.ISFORMULA(S159))</formula>
    </cfRule>
  </conditionalFormatting>
  <conditionalFormatting sqref="S10:U26 W10:Y26">
    <cfRule type="expression" dxfId="67" priority="56">
      <formula>NOT(ISBLANK($A10))</formula>
    </cfRule>
  </conditionalFormatting>
  <conditionalFormatting sqref="S10:U26">
    <cfRule type="expression" dxfId="66" priority="57">
      <formula>NOT(_xludf.ISFORMULA(S10))</formula>
    </cfRule>
  </conditionalFormatting>
  <conditionalFormatting sqref="S28:U28">
    <cfRule type="expression" dxfId="65" priority="58">
      <formula>NOT(ISBLANK($A28))</formula>
    </cfRule>
  </conditionalFormatting>
  <conditionalFormatting sqref="S28:U49">
    <cfRule type="expression" dxfId="64" priority="59">
      <formula>NOT(ISBLANK($B28))</formula>
    </cfRule>
  </conditionalFormatting>
  <conditionalFormatting sqref="S44:U44 S49:U49 S53:U55 S60:U66 S67:T67 S68:S82">
    <cfRule type="expression" dxfId="63" priority="60">
      <formula>NOT(_xludf.ISFORMULA(S44))</formula>
    </cfRule>
  </conditionalFormatting>
  <conditionalFormatting sqref="S50:S52 S53:U55 S60:U66 S67:T67 S68:S82">
    <cfRule type="expression" dxfId="62" priority="61">
      <formula>NOT(ISBLANK($B50))</formula>
    </cfRule>
  </conditionalFormatting>
  <conditionalFormatting sqref="S56:U59">
    <cfRule type="expression" dxfId="61" priority="62">
      <formula>NOT(ISBLANK($A56))</formula>
    </cfRule>
  </conditionalFormatting>
  <conditionalFormatting sqref="S56:U59">
    <cfRule type="expression" dxfId="60" priority="63">
      <formula>NOT(ISBLANK($B56))</formula>
    </cfRule>
  </conditionalFormatting>
  <conditionalFormatting sqref="S84:U104">
    <cfRule type="expression" dxfId="59" priority="64">
      <formula>NOT(_xludf.ISFORMULA(S84))</formula>
    </cfRule>
  </conditionalFormatting>
  <conditionalFormatting sqref="T30">
    <cfRule type="expression" dxfId="58" priority="65">
      <formula>NOT(_xludf.ISFORMULA(T30))</formula>
    </cfRule>
  </conditionalFormatting>
  <conditionalFormatting sqref="T45:T46">
    <cfRule type="expression" dxfId="57" priority="66">
      <formula>NOT(ISBLANK($A45))</formula>
    </cfRule>
  </conditionalFormatting>
  <conditionalFormatting sqref="T68:T70">
    <cfRule type="expression" dxfId="56" priority="67">
      <formula>NOT(ISBLANK($B68))</formula>
    </cfRule>
  </conditionalFormatting>
  <conditionalFormatting sqref="T68:T70">
    <cfRule type="expression" dxfId="55" priority="68">
      <formula>NOT(ISBLANK($A68))</formula>
    </cfRule>
  </conditionalFormatting>
  <conditionalFormatting sqref="T36:U37">
    <cfRule type="expression" dxfId="54" priority="69">
      <formula>NOT(_xludf.ISFORMULA(T36))</formula>
    </cfRule>
  </conditionalFormatting>
  <conditionalFormatting sqref="T43:U43">
    <cfRule type="expression" dxfId="53" priority="70">
      <formula>NOT(_xludf.ISFORMULA(T43))</formula>
    </cfRule>
  </conditionalFormatting>
  <conditionalFormatting sqref="T50:U52">
    <cfRule type="expression" dxfId="52" priority="71">
      <formula>NOT(ISBLANK($B50))</formula>
    </cfRule>
  </conditionalFormatting>
  <conditionalFormatting sqref="T50:U52">
    <cfRule type="expression" dxfId="51" priority="72">
      <formula>NOT(ISBLANK($A50))</formula>
    </cfRule>
  </conditionalFormatting>
  <conditionalFormatting sqref="T71:U73">
    <cfRule type="expression" dxfId="50" priority="73">
      <formula>NOT(_xludf.ISFORMULA(T71))</formula>
    </cfRule>
  </conditionalFormatting>
  <conditionalFormatting sqref="T71:U73">
    <cfRule type="expression" dxfId="49" priority="74">
      <formula>NOT(ISBLANK($B71))</formula>
    </cfRule>
  </conditionalFormatting>
  <conditionalFormatting sqref="T71:U73">
    <cfRule type="expression" dxfId="48" priority="75">
      <formula>NOT(ISBLANK($A71))</formula>
    </cfRule>
  </conditionalFormatting>
  <conditionalFormatting sqref="T74:U82">
    <cfRule type="expression" dxfId="47" priority="76">
      <formula>NOT(ISBLANK($B74))</formula>
    </cfRule>
  </conditionalFormatting>
  <conditionalFormatting sqref="T74:U82">
    <cfRule type="expression" dxfId="46" priority="77">
      <formula>NOT(ISBLANK($A74))</formula>
    </cfRule>
  </conditionalFormatting>
  <conditionalFormatting sqref="U30:U33">
    <cfRule type="expression" dxfId="45" priority="78">
      <formula>NOT(_xludf.ISFORMULA(U30))</formula>
    </cfRule>
  </conditionalFormatting>
  <conditionalFormatting sqref="U40:U42">
    <cfRule type="expression" dxfId="44" priority="79">
      <formula>NOT(_xludf.ISFORMULA(U40))</formula>
    </cfRule>
  </conditionalFormatting>
  <conditionalFormatting sqref="U45:U48">
    <cfRule type="expression" dxfId="43" priority="80">
      <formula>NOT(_xludf.ISFORMULA(U45))</formula>
    </cfRule>
  </conditionalFormatting>
  <conditionalFormatting sqref="U45:U48">
    <cfRule type="expression" dxfId="42" priority="81">
      <formula>NOT(ISBLANK($A45))</formula>
    </cfRule>
  </conditionalFormatting>
  <conditionalFormatting sqref="U54:U55 U60:U61">
    <cfRule type="expression" dxfId="41" priority="82">
      <formula>NOT(_xludf.ISFORMULA(U54))</formula>
    </cfRule>
  </conditionalFormatting>
  <conditionalFormatting sqref="U63:U65">
    <cfRule type="expression" dxfId="40" priority="83">
      <formula>NOT(_xludf.ISFORMULA(U63))</formula>
    </cfRule>
  </conditionalFormatting>
  <conditionalFormatting sqref="U67:U70">
    <cfRule type="expression" dxfId="39" priority="84">
      <formula>NOT(_xludf.ISFORMULA(U67))</formula>
    </cfRule>
  </conditionalFormatting>
  <conditionalFormatting sqref="U67:U70">
    <cfRule type="expression" dxfId="38" priority="85">
      <formula>NOT(ISBLANK($B67))</formula>
    </cfRule>
  </conditionalFormatting>
  <conditionalFormatting sqref="U67:U70">
    <cfRule type="expression" dxfId="37" priority="86">
      <formula>NOT(ISBLANK($A67))</formula>
    </cfRule>
  </conditionalFormatting>
  <conditionalFormatting sqref="U74:U75">
    <cfRule type="expression" dxfId="36" priority="87">
      <formula>NOT(_xludf.ISFORMULA(U74))</formula>
    </cfRule>
  </conditionalFormatting>
  <conditionalFormatting sqref="W43">
    <cfRule type="expression" dxfId="35" priority="88">
      <formula>NOT(ISBLANK($B43))</formula>
    </cfRule>
  </conditionalFormatting>
  <conditionalFormatting sqref="W43">
    <cfRule type="expression" dxfId="34" priority="89">
      <formula>NOT(ISBLANK($A43))</formula>
    </cfRule>
  </conditionalFormatting>
  <conditionalFormatting sqref="S10:U26 W10:Y26">
    <cfRule type="expression" dxfId="33" priority="90">
      <formula>NOT(ISBLANK($B10))</formula>
    </cfRule>
  </conditionalFormatting>
  <conditionalFormatting sqref="W28:Y42">
    <cfRule type="expression" dxfId="32" priority="91">
      <formula>NOT(ISBLANK($B28))</formula>
    </cfRule>
  </conditionalFormatting>
  <conditionalFormatting sqref="W28:Y42">
    <cfRule type="expression" dxfId="31" priority="92">
      <formula>NOT(ISBLANK($A28))</formula>
    </cfRule>
  </conditionalFormatting>
  <conditionalFormatting sqref="W44:Y70">
    <cfRule type="expression" dxfId="30" priority="93">
      <formula>NOT(ISBLANK($A44))</formula>
    </cfRule>
  </conditionalFormatting>
  <conditionalFormatting sqref="W71:Y73 X43:Y43">
    <cfRule type="expression" dxfId="29" priority="94">
      <formula>NOT(ISBLANK($B43))</formula>
    </cfRule>
  </conditionalFormatting>
  <conditionalFormatting sqref="W71:Y73">
    <cfRule type="expression" dxfId="28" priority="95">
      <formula>NOT(_xludf.ISFORMULA(W71))</formula>
    </cfRule>
  </conditionalFormatting>
  <conditionalFormatting sqref="W74:Y82">
    <cfRule type="expression" dxfId="27" priority="96">
      <formula>NOT(ISBLANK($B74))</formula>
    </cfRule>
  </conditionalFormatting>
  <conditionalFormatting sqref="W74:Y82">
    <cfRule type="expression" dxfId="26" priority="97">
      <formula>NOT(ISBLANK($A74))</formula>
    </cfRule>
  </conditionalFormatting>
  <conditionalFormatting sqref="W84:Y84">
    <cfRule type="expression" dxfId="25" priority="98">
      <formula>NOT(_xludf.ISFORMULA(W84))</formula>
    </cfRule>
  </conditionalFormatting>
  <conditionalFormatting sqref="W105:Y105">
    <cfRule type="expression" dxfId="24" priority="99">
      <formula>NOT(_xludf.ISFORMULA(W105))</formula>
    </cfRule>
  </conditionalFormatting>
  <conditionalFormatting sqref="W128:Y128">
    <cfRule type="expression" dxfId="23" priority="100">
      <formula>NOT(_xludf.ISFORMULA(W128))</formula>
    </cfRule>
  </conditionalFormatting>
  <conditionalFormatting sqref="W133:Y133">
    <cfRule type="expression" dxfId="22" priority="101">
      <formula>NOT(_xludf.ISFORMULA(W133))</formula>
    </cfRule>
  </conditionalFormatting>
  <conditionalFormatting sqref="W154:Y155">
    <cfRule type="expression" dxfId="21" priority="102">
      <formula>NOT(_xludf.ISFORMULA(W154))</formula>
    </cfRule>
  </conditionalFormatting>
  <conditionalFormatting sqref="W159:Y159">
    <cfRule type="expression" dxfId="20" priority="103">
      <formula>NOT(_xludf.ISFORMULA(W159))</formula>
    </cfRule>
  </conditionalFormatting>
  <conditionalFormatting sqref="X30">
    <cfRule type="expression" dxfId="19" priority="104">
      <formula>NOT(_xludf.ISFORMULA(X30))</formula>
    </cfRule>
  </conditionalFormatting>
  <conditionalFormatting sqref="X15:Y15">
    <cfRule type="expression" dxfId="18" priority="105">
      <formula>NOT(_xludf.ISFORMULA(X15))</formula>
    </cfRule>
  </conditionalFormatting>
  <conditionalFormatting sqref="X16:Y16">
    <cfRule type="expression" dxfId="17" priority="106">
      <formula>NOT(_xludf.ISFORMULA(X16))</formula>
    </cfRule>
  </conditionalFormatting>
  <conditionalFormatting sqref="X36:Y37">
    <cfRule type="expression" dxfId="16" priority="107">
      <formula>NOT(_xludf.ISFORMULA(X36))</formula>
    </cfRule>
  </conditionalFormatting>
  <conditionalFormatting sqref="W71:Y73 X43:Y43">
    <cfRule type="expression" dxfId="15" priority="108">
      <formula>NOT(ISBLANK($A43))</formula>
    </cfRule>
  </conditionalFormatting>
  <conditionalFormatting sqref="X43:Y43">
    <cfRule type="expression" dxfId="14" priority="109">
      <formula>NOT(_xludf.ISFORMULA(X43))</formula>
    </cfRule>
  </conditionalFormatting>
  <conditionalFormatting sqref="X62:Y62">
    <cfRule type="expression" dxfId="13" priority="110">
      <formula>NOT(_xludf.ISFORMULA(X62))</formula>
    </cfRule>
  </conditionalFormatting>
  <conditionalFormatting sqref="X66:Y66">
    <cfRule type="expression" dxfId="12" priority="111">
      <formula>NOT(_xludf.ISFORMULA(X66))</formula>
    </cfRule>
  </conditionalFormatting>
  <conditionalFormatting sqref="Y30:Y33">
    <cfRule type="expression" dxfId="11" priority="112">
      <formula>NOT(_xludf.ISFORMULA(Y30))</formula>
    </cfRule>
  </conditionalFormatting>
  <conditionalFormatting sqref="Y40:Y42">
    <cfRule type="expression" dxfId="10" priority="113">
      <formula>NOT(_xludf.ISFORMULA(Y40))</formula>
    </cfRule>
  </conditionalFormatting>
  <conditionalFormatting sqref="Y49">
    <cfRule type="expression" dxfId="9" priority="114">
      <formula>NOT(_xludf.ISFORMULA(Y49))</formula>
    </cfRule>
  </conditionalFormatting>
  <conditionalFormatting sqref="A123:F161 AA28:AA82 AC44:AG82">
    <cfRule type="expression" dxfId="8" priority="115">
      <formula>NOT(ISBLANK($B28))</formula>
    </cfRule>
  </conditionalFormatting>
  <conditionalFormatting sqref="A123:F161 AA28:AA82 AC44:AG82">
    <cfRule type="expression" dxfId="7" priority="116">
      <formula>NOT(ISBLANK($A28))</formula>
    </cfRule>
  </conditionalFormatting>
  <conditionalFormatting sqref="AA163:AA172">
    <cfRule type="expression" dxfId="6" priority="117">
      <formula>NOT(ISBLANK($B163))</formula>
    </cfRule>
  </conditionalFormatting>
  <conditionalFormatting sqref="AA163:AA172">
    <cfRule type="expression" dxfId="5" priority="118">
      <formula>NOT(ISBLANK($A163))</formula>
    </cfRule>
  </conditionalFormatting>
  <conditionalFormatting sqref="F117:F118 AE42:AE43">
    <cfRule type="expression" dxfId="4" priority="119">
      <formula>NOT(ISBLANK($A41))</formula>
    </cfRule>
  </conditionalFormatting>
  <conditionalFormatting sqref="AI7:BQ8">
    <cfRule type="expression" dxfId="3" priority="120">
      <formula>AND(AH$8&lt;TODAY(),AI$8&gt;=TODAY())</formula>
    </cfRule>
  </conditionalFormatting>
  <conditionalFormatting sqref="AI9:BQ172">
    <cfRule type="expression" dxfId="2" priority="121">
      <formula>AND(AH$8&lt;TODAY(),AI$8&gt;=TODAY())</formula>
    </cfRule>
  </conditionalFormatting>
  <conditionalFormatting sqref="AI9:BQ172">
    <cfRule type="expression" dxfId="1" priority="122">
      <formula>AND(AI$8&gt;=$T9,AI$8&lt;=EOMONTH($U9,0)+1)</formula>
    </cfRule>
  </conditionalFormatting>
  <conditionalFormatting sqref="AI9:BQ172">
    <cfRule type="expression" dxfId="0" priority="123">
      <formula>AND(AI$8&gt;=$X9,AI$8&lt;=EOMONTH($Y9,0)+1,$T$5="Actual")</formula>
    </cfRule>
  </conditionalFormatting>
  <dataValidations count="3">
    <dataValidation type="list" allowBlank="1" showInputMessage="1" showErrorMessage="1" prompt="Type - A - Activity_x000a_SA - Sub Activity_x000a_M - Milestone" sqref="I12:I15 I17:I26 I29:I82 I84:I161 I163:I172" xr:uid="{00000000-0002-0000-0100-000000000000}">
      <formula1>"S,SA,M"</formula1>
    </dataValidation>
    <dataValidation type="list" allowBlank="1" showErrorMessage="1" sqref="T4" xr:uid="{00000000-0002-0000-0100-000001000000}">
      <formula1>"Weekly,Bi-weekly,Monthly"</formula1>
    </dataValidation>
    <dataValidation type="list" allowBlank="1" showErrorMessage="1" sqref="T5" xr:uid="{00000000-0002-0000-0100-000002000000}">
      <formula1>"Plan,Actual"</formula1>
    </dataValidation>
  </dataValidations>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3:Z39"/>
  <sheetViews>
    <sheetView workbookViewId="0"/>
  </sheetViews>
  <sheetFormatPr defaultColWidth="12.625" defaultRowHeight="15" customHeight="1" outlineLevelRow="1"/>
  <cols>
    <col min="1" max="1" width="4.25" style="28" customWidth="1"/>
    <col min="2" max="2" width="4.75" customWidth="1"/>
    <col min="3" max="3" width="26.125" customWidth="1"/>
    <col min="4" max="4" width="118.25" customWidth="1"/>
    <col min="5" max="5" width="4.25" style="28" customWidth="1"/>
    <col min="6" max="6" width="4" style="28" customWidth="1"/>
    <col min="7" max="26" width="8.625" style="28" customWidth="1"/>
  </cols>
  <sheetData>
    <row r="3" spans="2:4" ht="14.25" customHeight="1">
      <c r="B3" s="413" t="s">
        <v>834</v>
      </c>
      <c r="C3" s="418"/>
      <c r="D3" s="419"/>
    </row>
    <row r="4" spans="2:4" ht="14.25" customHeight="1">
      <c r="B4" s="174" t="s">
        <v>835</v>
      </c>
      <c r="C4" s="175" t="s">
        <v>836</v>
      </c>
      <c r="D4" s="176" t="s">
        <v>837</v>
      </c>
    </row>
    <row r="5" spans="2:4" ht="14.25" customHeight="1" outlineLevel="1">
      <c r="B5" s="177">
        <v>1</v>
      </c>
      <c r="C5" s="178" t="s">
        <v>838</v>
      </c>
      <c r="D5" s="179" t="s">
        <v>839</v>
      </c>
    </row>
    <row r="6" spans="2:4" ht="14.25" customHeight="1" outlineLevel="1">
      <c r="B6" s="177">
        <v>2</v>
      </c>
      <c r="C6" s="178" t="s">
        <v>840</v>
      </c>
      <c r="D6" s="179" t="s">
        <v>841</v>
      </c>
    </row>
    <row r="7" spans="2:4" ht="14.25" customHeight="1" outlineLevel="1">
      <c r="B7" s="177">
        <v>3</v>
      </c>
      <c r="C7" s="180" t="s">
        <v>18</v>
      </c>
      <c r="D7" s="181" t="s">
        <v>842</v>
      </c>
    </row>
    <row r="8" spans="2:4" ht="14.25" customHeight="1" outlineLevel="1">
      <c r="B8" s="177">
        <v>4</v>
      </c>
      <c r="C8" s="180" t="s">
        <v>19</v>
      </c>
      <c r="D8" s="181" t="s">
        <v>843</v>
      </c>
    </row>
    <row r="9" spans="2:4" ht="14.25" customHeight="1" outlineLevel="1">
      <c r="B9" s="177">
        <v>5</v>
      </c>
      <c r="C9" s="182" t="s">
        <v>844</v>
      </c>
      <c r="D9" s="181" t="s">
        <v>845</v>
      </c>
    </row>
    <row r="10" spans="2:4" ht="14.25" customHeight="1" outlineLevel="1">
      <c r="B10" s="177"/>
      <c r="C10" s="183" t="s">
        <v>846</v>
      </c>
      <c r="D10" s="181" t="s">
        <v>847</v>
      </c>
    </row>
    <row r="11" spans="2:4" ht="14.25" customHeight="1" outlineLevel="1">
      <c r="B11" s="177">
        <v>6</v>
      </c>
      <c r="C11" s="184" t="s">
        <v>28</v>
      </c>
      <c r="D11" s="181" t="s">
        <v>848</v>
      </c>
    </row>
    <row r="12" spans="2:4" ht="14.25" customHeight="1" outlineLevel="1">
      <c r="B12" s="177">
        <v>7</v>
      </c>
      <c r="C12" s="184" t="s">
        <v>29</v>
      </c>
      <c r="D12" s="181" t="s">
        <v>849</v>
      </c>
    </row>
    <row r="13" spans="2:4" ht="14.25" customHeight="1" outlineLevel="1">
      <c r="B13" s="177">
        <v>8</v>
      </c>
      <c r="C13" s="184" t="s">
        <v>850</v>
      </c>
      <c r="D13" s="181" t="s">
        <v>851</v>
      </c>
    </row>
    <row r="14" spans="2:4" ht="14.25" customHeight="1" outlineLevel="1">
      <c r="B14" s="177">
        <v>9</v>
      </c>
      <c r="C14" s="183" t="s">
        <v>852</v>
      </c>
      <c r="D14" s="181" t="s">
        <v>853</v>
      </c>
    </row>
    <row r="15" spans="2:4" ht="14.25" customHeight="1" outlineLevel="1">
      <c r="B15" s="177">
        <v>10</v>
      </c>
      <c r="C15" s="183" t="s">
        <v>854</v>
      </c>
      <c r="D15" s="181" t="s">
        <v>855</v>
      </c>
    </row>
    <row r="16" spans="2:4" ht="14.25" customHeight="1" outlineLevel="1">
      <c r="B16" s="177">
        <v>11</v>
      </c>
      <c r="C16" s="183" t="s">
        <v>17</v>
      </c>
      <c r="D16" s="181" t="s">
        <v>856</v>
      </c>
    </row>
    <row r="17" spans="2:4" ht="14.25" customHeight="1" outlineLevel="1">
      <c r="B17" s="177">
        <v>11.1</v>
      </c>
      <c r="C17" s="183" t="s">
        <v>857</v>
      </c>
      <c r="D17" s="181" t="s">
        <v>858</v>
      </c>
    </row>
    <row r="18" spans="2:4" ht="14.25" customHeight="1" outlineLevel="1">
      <c r="B18" s="177">
        <v>11.2</v>
      </c>
      <c r="C18" s="183" t="s">
        <v>859</v>
      </c>
      <c r="D18" s="181" t="s">
        <v>860</v>
      </c>
    </row>
    <row r="19" spans="2:4" ht="14.25" customHeight="1" outlineLevel="1">
      <c r="B19" s="177">
        <v>11.3</v>
      </c>
      <c r="C19" s="183" t="s">
        <v>861</v>
      </c>
      <c r="D19" s="181" t="s">
        <v>862</v>
      </c>
    </row>
    <row r="20" spans="2:4" ht="14.25" customHeight="1" outlineLevel="1">
      <c r="B20" s="185">
        <v>12</v>
      </c>
      <c r="C20" s="186" t="s">
        <v>863</v>
      </c>
      <c r="D20" s="181" t="s">
        <v>864</v>
      </c>
    </row>
    <row r="21" spans="2:4" ht="14.25" customHeight="1" outlineLevel="1">
      <c r="B21" s="185">
        <v>13</v>
      </c>
      <c r="C21" s="186" t="s">
        <v>865</v>
      </c>
      <c r="D21" s="181" t="s">
        <v>866</v>
      </c>
    </row>
    <row r="22" spans="2:4" ht="14.25" customHeight="1" outlineLevel="1">
      <c r="B22" s="185">
        <v>14</v>
      </c>
      <c r="C22" s="186" t="s">
        <v>13</v>
      </c>
      <c r="D22" s="181" t="s">
        <v>867</v>
      </c>
    </row>
    <row r="23" spans="2:4" ht="14.25" customHeight="1" outlineLevel="1">
      <c r="B23" s="185">
        <v>15</v>
      </c>
      <c r="C23" s="186" t="s">
        <v>420</v>
      </c>
      <c r="D23" s="181" t="s">
        <v>868</v>
      </c>
    </row>
    <row r="24" spans="2:4" ht="14.25" customHeight="1" outlineLevel="1">
      <c r="B24" s="185">
        <v>16</v>
      </c>
      <c r="C24" s="186" t="s">
        <v>34</v>
      </c>
      <c r="D24" s="181" t="s">
        <v>869</v>
      </c>
    </row>
    <row r="25" spans="2:4" ht="14.25" customHeight="1" outlineLevel="1">
      <c r="B25" s="185">
        <v>17</v>
      </c>
      <c r="C25" s="186" t="s">
        <v>39</v>
      </c>
      <c r="D25" s="181" t="s">
        <v>870</v>
      </c>
    </row>
    <row r="26" spans="2:4" ht="14.25" customHeight="1" outlineLevel="1">
      <c r="B26" s="185">
        <v>18</v>
      </c>
      <c r="C26" s="186" t="s">
        <v>43</v>
      </c>
      <c r="D26" s="181" t="s">
        <v>871</v>
      </c>
    </row>
    <row r="27" spans="2:4" ht="20.25" customHeight="1">
      <c r="B27" s="28"/>
      <c r="C27" s="28"/>
      <c r="D27" s="13"/>
    </row>
    <row r="28" spans="2:4" ht="14.25" customHeight="1">
      <c r="B28" s="413" t="s">
        <v>872</v>
      </c>
      <c r="C28" s="418"/>
      <c r="D28" s="419"/>
    </row>
    <row r="29" spans="2:4" ht="14.25" customHeight="1">
      <c r="B29" s="174" t="s">
        <v>835</v>
      </c>
      <c r="C29" s="175" t="s">
        <v>836</v>
      </c>
      <c r="D29" s="175" t="s">
        <v>837</v>
      </c>
    </row>
    <row r="30" spans="2:4" ht="14.25" customHeight="1" outlineLevel="1">
      <c r="B30" s="412" t="s">
        <v>873</v>
      </c>
      <c r="C30" s="410" t="s">
        <v>20</v>
      </c>
      <c r="D30" s="411" t="s">
        <v>874</v>
      </c>
    </row>
    <row r="31" spans="2:4" ht="14.25" customHeight="1" outlineLevel="1">
      <c r="B31" s="420"/>
      <c r="C31" s="420"/>
      <c r="D31" s="420"/>
    </row>
    <row r="32" spans="2:4" ht="14.25" customHeight="1" outlineLevel="1">
      <c r="B32" s="412" t="s">
        <v>41</v>
      </c>
      <c r="C32" s="410" t="s">
        <v>875</v>
      </c>
      <c r="D32" s="411" t="s">
        <v>876</v>
      </c>
    </row>
    <row r="33" spans="2:4" ht="14.25" customHeight="1" outlineLevel="1">
      <c r="B33" s="420"/>
      <c r="C33" s="420"/>
      <c r="D33" s="420"/>
    </row>
    <row r="34" spans="2:4" ht="14.25" customHeight="1" outlineLevel="1">
      <c r="B34" s="412" t="s">
        <v>463</v>
      </c>
      <c r="C34" s="410" t="s">
        <v>21</v>
      </c>
      <c r="D34" s="411" t="s">
        <v>877</v>
      </c>
    </row>
    <row r="35" spans="2:4" ht="14.25" customHeight="1" outlineLevel="1">
      <c r="B35" s="420"/>
      <c r="C35" s="420"/>
      <c r="D35" s="420"/>
    </row>
    <row r="36" spans="2:4" ht="14.25" customHeight="1" outlineLevel="1">
      <c r="B36" s="412" t="s">
        <v>878</v>
      </c>
      <c r="C36" s="410" t="s">
        <v>879</v>
      </c>
      <c r="D36" s="411" t="s">
        <v>880</v>
      </c>
    </row>
    <row r="37" spans="2:4" ht="14.25" customHeight="1" outlineLevel="1">
      <c r="B37" s="420"/>
      <c r="C37" s="420"/>
      <c r="D37" s="420"/>
    </row>
    <row r="38" spans="2:4" ht="14.25" customHeight="1" outlineLevel="1">
      <c r="B38" s="412" t="s">
        <v>881</v>
      </c>
      <c r="C38" s="410" t="s">
        <v>882</v>
      </c>
      <c r="D38" s="411" t="s">
        <v>883</v>
      </c>
    </row>
    <row r="39" spans="2:4" ht="14.25" customHeight="1" outlineLevel="1">
      <c r="B39" s="420"/>
      <c r="C39" s="420"/>
      <c r="D39" s="420"/>
    </row>
  </sheetData>
  <mergeCells count="17">
    <mergeCell ref="B3:D3"/>
    <mergeCell ref="B28:D28"/>
    <mergeCell ref="B30:B31"/>
    <mergeCell ref="C30:C31"/>
    <mergeCell ref="D30:D31"/>
    <mergeCell ref="C32:C33"/>
    <mergeCell ref="D32:D33"/>
    <mergeCell ref="B38:B39"/>
    <mergeCell ref="C38:C39"/>
    <mergeCell ref="D38:D39"/>
    <mergeCell ref="B32:B33"/>
    <mergeCell ref="B34:B35"/>
    <mergeCell ref="C34:C35"/>
    <mergeCell ref="D34:D35"/>
    <mergeCell ref="B36:B37"/>
    <mergeCell ref="C36:C37"/>
    <mergeCell ref="D36:D37"/>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H7"/>
  <sheetViews>
    <sheetView workbookViewId="0"/>
  </sheetViews>
  <sheetFormatPr defaultColWidth="12.625" defaultRowHeight="15" customHeight="1"/>
  <cols>
    <col min="1" max="1" width="1.875" customWidth="1"/>
    <col min="2" max="2" width="31" customWidth="1"/>
    <col min="3" max="3" width="51.375" customWidth="1"/>
    <col min="5" max="5" width="1.375" customWidth="1"/>
    <col min="6" max="7" width="38.25" customWidth="1"/>
    <col min="8" max="8" width="24.125" customWidth="1"/>
  </cols>
  <sheetData>
    <row r="2" spans="2:8">
      <c r="B2" s="413" t="s">
        <v>884</v>
      </c>
      <c r="C2" s="418"/>
      <c r="D2" s="419"/>
      <c r="F2" s="414" t="s">
        <v>885</v>
      </c>
      <c r="G2" s="418"/>
      <c r="H2" s="419"/>
    </row>
    <row r="3" spans="2:8">
      <c r="B3" s="175" t="s">
        <v>886</v>
      </c>
      <c r="C3" s="175" t="s">
        <v>887</v>
      </c>
      <c r="D3" s="175" t="s">
        <v>888</v>
      </c>
      <c r="F3" s="175" t="s">
        <v>886</v>
      </c>
      <c r="G3" s="175" t="s">
        <v>887</v>
      </c>
      <c r="H3" s="175" t="s">
        <v>888</v>
      </c>
    </row>
    <row r="4" spans="2:8">
      <c r="B4" s="48" t="s">
        <v>889</v>
      </c>
      <c r="C4" s="187" t="s">
        <v>890</v>
      </c>
      <c r="D4" s="48" t="s">
        <v>99</v>
      </c>
      <c r="F4" s="48" t="s">
        <v>891</v>
      </c>
      <c r="G4" s="187" t="s">
        <v>892</v>
      </c>
      <c r="H4" s="48" t="s">
        <v>136</v>
      </c>
    </row>
    <row r="5" spans="2:8">
      <c r="B5" s="48" t="s">
        <v>893</v>
      </c>
      <c r="C5" s="187" t="s">
        <v>894</v>
      </c>
      <c r="D5" s="48" t="s">
        <v>179</v>
      </c>
      <c r="F5" s="48" t="s">
        <v>895</v>
      </c>
      <c r="G5" s="187" t="s">
        <v>896</v>
      </c>
      <c r="H5" s="48" t="s">
        <v>160</v>
      </c>
    </row>
    <row r="6" spans="2:8">
      <c r="B6" s="48" t="s">
        <v>897</v>
      </c>
      <c r="C6" s="187" t="s">
        <v>898</v>
      </c>
      <c r="D6" s="48" t="s">
        <v>143</v>
      </c>
      <c r="F6" s="48" t="s">
        <v>899</v>
      </c>
      <c r="G6" s="187" t="s">
        <v>900</v>
      </c>
      <c r="H6" s="48" t="s">
        <v>901</v>
      </c>
    </row>
    <row r="7" spans="2:8">
      <c r="F7" s="48" t="s">
        <v>902</v>
      </c>
      <c r="G7" s="187" t="s">
        <v>903</v>
      </c>
      <c r="H7" s="48" t="s">
        <v>160</v>
      </c>
    </row>
  </sheetData>
  <mergeCells count="2">
    <mergeCell ref="B2:D2"/>
    <mergeCell ref="F2:H2"/>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8af055-90d8-4fd9-84f3-03f98de5a5be" xsi:nil="true"/>
    <lcf76f155ced4ddcb4097134ff3c332f xmlns="9d1294d1-48d8-49ea-b44f-2794d3b82e9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B659A29A2199419B1F9E85C5C6EDB2" ma:contentTypeVersion="18" ma:contentTypeDescription="Create a new document." ma:contentTypeScope="" ma:versionID="7992dcfeaaf38f6ce44c9d2a1af9c581">
  <xsd:schema xmlns:xsd="http://www.w3.org/2001/XMLSchema" xmlns:xs="http://www.w3.org/2001/XMLSchema" xmlns:p="http://schemas.microsoft.com/office/2006/metadata/properties" xmlns:ns2="9d1294d1-48d8-49ea-b44f-2794d3b82e9e" xmlns:ns3="a38af055-90d8-4fd9-84f3-03f98de5a5be" targetNamespace="http://schemas.microsoft.com/office/2006/metadata/properties" ma:root="true" ma:fieldsID="6ca14cd7dee11070c9c0abd527401455" ns2:_="" ns3:_="">
    <xsd:import namespace="9d1294d1-48d8-49ea-b44f-2794d3b82e9e"/>
    <xsd:import namespace="a38af055-90d8-4fd9-84f3-03f98de5a5b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1294d1-48d8-49ea-b44f-2794d3b82e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9f169ea-03d7-4b81-8b71-291d3b658d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8af055-90d8-4fd9-84f3-03f98de5a5b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bd40131-9308-4b2a-9b3d-0556539c9fd9}" ma:internalName="TaxCatchAll" ma:showField="CatchAllData" ma:web="a38af055-90d8-4fd9-84f3-03f98de5a5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3D0A65-2F29-4AE4-A94C-9691A4832464}"/>
</file>

<file path=customXml/itemProps2.xml><?xml version="1.0" encoding="utf-8"?>
<ds:datastoreItem xmlns:ds="http://schemas.openxmlformats.org/officeDocument/2006/customXml" ds:itemID="{29D63A1A-5F03-4273-BFE0-27289AAA2645}"/>
</file>

<file path=customXml/itemProps3.xml><?xml version="1.0" encoding="utf-8"?>
<ds:datastoreItem xmlns:ds="http://schemas.openxmlformats.org/officeDocument/2006/customXml" ds:itemID="{1DDC55DB-30A3-4B39-8FC8-63EAEB459A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Zheena Ocampo</dc:creator>
  <cp:keywords/>
  <dc:description/>
  <cp:lastModifiedBy>Galisanao, Rommel</cp:lastModifiedBy>
  <cp:revision/>
  <dcterms:created xsi:type="dcterms:W3CDTF">2020-03-30T03:56:57Z</dcterms:created>
  <dcterms:modified xsi:type="dcterms:W3CDTF">2026-01-06T03:17:25Z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0x01010045B659A29A2199419B1F9E85C5C6EDB2</vt:lpwstr>
  </property>
  <property fmtid="{D5CDD505-2E9C-101B-9397-08002B2CF9AE}" pid="3" name="Order">
    <vt:r8>723700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